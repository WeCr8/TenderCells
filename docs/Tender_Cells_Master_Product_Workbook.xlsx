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s" sheetId="1" state="visible" r:id="rId1"/>
    <sheet xmlns:r="http://schemas.openxmlformats.org/officeDocument/2006/relationships" name="Engineering_Assumptions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SKU_Master" sheetId="4" state="visible" r:id="rId4"/>
    <sheet xmlns:r="http://schemas.openxmlformats.org/officeDocument/2006/relationships" name="Electronics_BOM" sheetId="5" state="visible" r:id="rId5"/>
    <sheet xmlns:r="http://schemas.openxmlformats.org/officeDocument/2006/relationships" name="Hardware_BOM" sheetId="6" state="visible" r:id="rId6"/>
    <sheet xmlns:r="http://schemas.openxmlformats.org/officeDocument/2006/relationships" name="Value_Proposition" sheetId="7" state="visible" r:id="rId7"/>
    <sheet xmlns:r="http://schemas.openxmlformats.org/officeDocument/2006/relationships" name="Promotions" sheetId="8" state="visible" r:id="rId8"/>
    <sheet xmlns:r="http://schemas.openxmlformats.org/officeDocument/2006/relationships" name="Data_Ownership" sheetId="9" state="visible" r:id="rId9"/>
    <sheet xmlns:r="http://schemas.openxmlformats.org/officeDocument/2006/relationships" name="Naming_Convention" sheetId="10" state="visible" r:id="rId10"/>
    <sheet xmlns:r="http://schemas.openxmlformats.org/officeDocument/2006/relationships" name="Sales_Quick_Quote" sheetId="11" state="visible" r:id="rId11"/>
    <sheet xmlns:r="http://schemas.openxmlformats.org/officeDocument/2006/relationships" name="Glossary" sheetId="12" state="visible" r:id="rId12"/>
    <sheet xmlns:r="http://schemas.openxmlformats.org/officeDocument/2006/relationships" name="Build_Notes" sheetId="13" state="visible" r:id="rId13"/>
    <sheet xmlns:r="http://schemas.openxmlformats.org/officeDocument/2006/relationships" name="Module_Map" sheetId="14" state="visible" r:id="rId14"/>
  </sheets>
  <definedNames>
    <definedName name="FAMILIES">Lists!$B$2:$B$13</definedName>
    <definedName name="SIZES">Lists!$B$14:$B$17</definedName>
    <definedName name="VARIANTS">Lists!$B$18:$B$22</definedName>
    <definedName name="PHASES">Lists!$B$23:$B$26</definedName>
    <definedName name="YESNO">Lists!$B$27:$B$28</definedName>
    <definedName name="REVS">Lists!$B$29:$B$36</definedName>
    <definedName name="PROMO_TYPES">Lists!$B$37:$B$40</definedName>
    <definedName name="CHANNELS">Lists!$B$41:$B$44</definedName>
    <definedName name="CUSTOMERS">Lists!$B$45:$B$47</definedName>
    <definedName name="SUBSYSTEMS">Lists!$B$48:$B$55</definedName>
    <definedName name="PRODUCT_IDS">Product_Master!$A$2:$A$150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</cols>
  <sheetData>
    <row r="1">
      <c r="A1" s="1" t="inlineStr">
        <is>
          <t>List_Name</t>
        </is>
      </c>
      <c r="B1" s="1" t="inlineStr">
        <is>
          <t>Code</t>
        </is>
      </c>
      <c r="C1" s="1" t="inlineStr">
        <is>
          <t>Label/Description</t>
        </is>
      </c>
    </row>
    <row r="2">
      <c r="A2" s="2" t="inlineStr">
        <is>
          <t>FAMILIES</t>
        </is>
      </c>
      <c r="B2" s="2" t="inlineStr">
        <is>
          <t>CELL</t>
        </is>
      </c>
      <c r="C2" s="2" t="inlineStr">
        <is>
          <t>Chicken Tender Cell (structure/enclosure)</t>
        </is>
      </c>
    </row>
    <row r="3">
      <c r="A3" s="2" t="inlineStr">
        <is>
          <t>FAMILIES</t>
        </is>
      </c>
      <c r="B3" s="2" t="inlineStr">
        <is>
          <t>GANTRY</t>
        </is>
      </c>
      <c r="C3" s="2" t="inlineStr">
        <is>
          <t>Cartesian gantry systems</t>
        </is>
      </c>
    </row>
    <row r="4">
      <c r="A4" s="2" t="inlineStr">
        <is>
          <t>FAMILIES</t>
        </is>
      </c>
      <c r="B4" s="2" t="inlineStr">
        <is>
          <t>ARM</t>
        </is>
      </c>
      <c r="C4" s="2" t="inlineStr">
        <is>
          <t>Robot arms / mounts / adapters</t>
        </is>
      </c>
    </row>
    <row r="5">
      <c r="A5" s="2" t="inlineStr">
        <is>
          <t>FAMILIES</t>
        </is>
      </c>
      <c r="B5" s="2" t="inlineStr">
        <is>
          <t>BIN</t>
        </is>
      </c>
      <c r="C5" s="2" t="inlineStr">
        <is>
          <t>Poop bins / litter systems</t>
        </is>
      </c>
    </row>
    <row r="6">
      <c r="A6" s="2" t="inlineStr">
        <is>
          <t>FAMILIES</t>
        </is>
      </c>
      <c r="B6" s="2" t="inlineStr">
        <is>
          <t>ROOST</t>
        </is>
      </c>
      <c r="C6" s="2" t="inlineStr">
        <is>
          <t>Roosting systems (fixed/deployable)</t>
        </is>
      </c>
    </row>
    <row r="7">
      <c r="A7" s="2" t="inlineStr">
        <is>
          <t>FAMILIES</t>
        </is>
      </c>
      <c r="B7" s="2" t="inlineStr">
        <is>
          <t>PRED</t>
        </is>
      </c>
      <c r="C7" s="2" t="inlineStr">
        <is>
          <t>Predator monitor systems</t>
        </is>
      </c>
    </row>
    <row r="8">
      <c r="A8" s="2" t="inlineStr">
        <is>
          <t>FAMILIES</t>
        </is>
      </c>
      <c r="B8" s="2" t="inlineStr">
        <is>
          <t>CTRL</t>
        </is>
      </c>
      <c r="C8" s="2" t="inlineStr">
        <is>
          <t>Control electronics (controllers, drivers, enclosures)</t>
        </is>
      </c>
    </row>
    <row r="9">
      <c r="A9" s="2" t="inlineStr">
        <is>
          <t>FAMILIES</t>
        </is>
      </c>
      <c r="B9" s="2" t="inlineStr">
        <is>
          <t>SENS</t>
        </is>
      </c>
      <c r="C9" s="2" t="inlineStr">
        <is>
          <t>Sensors / camera kits</t>
        </is>
      </c>
    </row>
    <row r="10">
      <c r="A10" s="2" t="inlineStr">
        <is>
          <t>FAMILIES</t>
        </is>
      </c>
      <c r="B10" s="2" t="inlineStr">
        <is>
          <t>SOLAR</t>
        </is>
      </c>
      <c r="C10" s="2" t="inlineStr">
        <is>
          <t>Solar power kits</t>
        </is>
      </c>
    </row>
    <row r="11">
      <c r="A11" s="2" t="inlineStr">
        <is>
          <t>FAMILIES</t>
        </is>
      </c>
      <c r="B11" s="2" t="inlineStr">
        <is>
          <t>ACC</t>
        </is>
      </c>
      <c r="C11" s="2" t="inlineStr">
        <is>
          <t>Accessories (mounts, fasteners, cable mgmt)</t>
        </is>
      </c>
    </row>
    <row r="12">
      <c r="A12" s="2" t="inlineStr">
        <is>
          <t>FAMILIES</t>
        </is>
      </c>
      <c r="B12" s="2" t="inlineStr">
        <is>
          <t>DUCK</t>
        </is>
      </c>
      <c r="C12" s="2" t="inlineStr">
        <is>
          <t>Duck Dock systems</t>
        </is>
      </c>
    </row>
    <row r="13">
      <c r="A13" s="2" t="inlineStr">
        <is>
          <t>FAMILIES</t>
        </is>
      </c>
      <c r="B13" s="2" t="inlineStr">
        <is>
          <t>MOBILE</t>
        </is>
      </c>
      <c r="C13" s="2" t="inlineStr">
        <is>
          <t>Roaming Roost / mobile units</t>
        </is>
      </c>
    </row>
    <row r="14">
      <c r="A14" s="2" t="inlineStr">
        <is>
          <t>SIZES</t>
        </is>
      </c>
      <c r="B14" s="2" t="inlineStr">
        <is>
          <t>S</t>
        </is>
      </c>
      <c r="C14" s="2" t="inlineStr">
        <is>
          <t>3×3×5 (Small)</t>
        </is>
      </c>
    </row>
    <row r="15">
      <c r="A15" s="2" t="inlineStr">
        <is>
          <t>SIZES</t>
        </is>
      </c>
      <c r="B15" s="2" t="inlineStr">
        <is>
          <t>M</t>
        </is>
      </c>
      <c r="C15" s="2" t="inlineStr">
        <is>
          <t>4×4×6 (Medium)</t>
        </is>
      </c>
    </row>
    <row r="16">
      <c r="A16" s="2" t="inlineStr">
        <is>
          <t>SIZES</t>
        </is>
      </c>
      <c r="B16" s="2" t="inlineStr">
        <is>
          <t>T</t>
        </is>
      </c>
      <c r="C16" s="2" t="inlineStr">
        <is>
          <t>4×4×8 (Tall/Primary)</t>
        </is>
      </c>
    </row>
    <row r="17">
      <c r="A17" s="2" t="inlineStr">
        <is>
          <t>SIZES</t>
        </is>
      </c>
      <c r="B17" s="2" t="inlineStr">
        <is>
          <t>L</t>
        </is>
      </c>
      <c r="C17" s="2" t="inlineStr">
        <is>
          <t>6×6×8 (Large)</t>
        </is>
      </c>
    </row>
    <row r="18">
      <c r="A18" s="2" t="inlineStr">
        <is>
          <t>VARIANTS</t>
        </is>
      </c>
      <c r="B18" s="2" t="inlineStr">
        <is>
          <t>BASE</t>
        </is>
      </c>
      <c r="C18" s="2" t="inlineStr">
        <is>
          <t>Base / Manual</t>
        </is>
      </c>
    </row>
    <row r="19">
      <c r="A19" s="2" t="inlineStr">
        <is>
          <t>VARIANTS</t>
        </is>
      </c>
      <c r="B19" s="2" t="inlineStr">
        <is>
          <t>AUTO</t>
        </is>
      </c>
      <c r="C19" s="2" t="inlineStr">
        <is>
          <t>Automated</t>
        </is>
      </c>
    </row>
    <row r="20">
      <c r="A20" s="2" t="inlineStr">
        <is>
          <t>VARIANTS</t>
        </is>
      </c>
      <c r="B20" s="2" t="inlineStr">
        <is>
          <t>SOLAR</t>
        </is>
      </c>
      <c r="C20" s="2" t="inlineStr">
        <is>
          <t>Solar-powered</t>
        </is>
      </c>
    </row>
    <row r="21">
      <c r="A21" s="2" t="inlineStr">
        <is>
          <t>VARIANTS</t>
        </is>
      </c>
      <c r="B21" s="2" t="inlineStr">
        <is>
          <t>NIGHT</t>
        </is>
      </c>
      <c r="C21" s="2" t="inlineStr">
        <is>
          <t>Night routine enabled</t>
        </is>
      </c>
    </row>
    <row r="22">
      <c r="A22" s="2" t="inlineStr">
        <is>
          <t>VARIANTS</t>
        </is>
      </c>
      <c r="B22" s="2" t="inlineStr">
        <is>
          <t>PRO</t>
        </is>
      </c>
      <c r="C22" s="2" t="inlineStr">
        <is>
          <t>Robotics-ready / Pro</t>
        </is>
      </c>
    </row>
    <row r="23">
      <c r="A23" s="2" t="inlineStr">
        <is>
          <t>PHASES</t>
        </is>
      </c>
      <c r="B23" s="2" t="inlineStr">
        <is>
          <t>CONCEPT</t>
        </is>
      </c>
      <c r="C23" s="2" t="inlineStr">
        <is>
          <t>Concept / CAD</t>
        </is>
      </c>
    </row>
    <row r="24">
      <c r="A24" s="2" t="inlineStr">
        <is>
          <t>PHASES</t>
        </is>
      </c>
      <c r="B24" s="2" t="inlineStr">
        <is>
          <t>PROTO</t>
        </is>
      </c>
      <c r="C24" s="2" t="inlineStr">
        <is>
          <t>Prototype</t>
        </is>
      </c>
    </row>
    <row r="25">
      <c r="A25" s="2" t="inlineStr">
        <is>
          <t>PHASES</t>
        </is>
      </c>
      <c r="B25" s="2" t="inlineStr">
        <is>
          <t>PILOT</t>
        </is>
      </c>
      <c r="C25" s="2" t="inlineStr">
        <is>
          <t>Pilot / limited users</t>
        </is>
      </c>
    </row>
    <row r="26">
      <c r="A26" s="2" t="inlineStr">
        <is>
          <t>PHASES</t>
        </is>
      </c>
      <c r="B26" s="2" t="inlineStr">
        <is>
          <t>PROD</t>
        </is>
      </c>
      <c r="C26" s="2" t="inlineStr">
        <is>
          <t>Production</t>
        </is>
      </c>
    </row>
    <row r="27">
      <c r="A27" s="2" t="inlineStr">
        <is>
          <t>YESNO</t>
        </is>
      </c>
      <c r="B27" s="2" t="inlineStr">
        <is>
          <t>Yes</t>
        </is>
      </c>
      <c r="C27" s="2" t="inlineStr">
        <is>
          <t>Yes</t>
        </is>
      </c>
    </row>
    <row r="28">
      <c r="A28" s="2" t="inlineStr">
        <is>
          <t>YESNO</t>
        </is>
      </c>
      <c r="B28" s="2" t="inlineStr">
        <is>
          <t>No</t>
        </is>
      </c>
      <c r="C28" s="2" t="inlineStr">
        <is>
          <t>No</t>
        </is>
      </c>
    </row>
    <row r="29">
      <c r="A29" s="2" t="inlineStr">
        <is>
          <t>REVS</t>
        </is>
      </c>
      <c r="B29" s="2" t="inlineStr">
        <is>
          <t>A</t>
        </is>
      </c>
      <c r="C29" s="2" t="inlineStr">
        <is>
          <t>Revision A</t>
        </is>
      </c>
    </row>
    <row r="30">
      <c r="A30" s="2" t="inlineStr">
        <is>
          <t>REVS</t>
        </is>
      </c>
      <c r="B30" s="2" t="inlineStr">
        <is>
          <t>B</t>
        </is>
      </c>
      <c r="C30" s="2" t="inlineStr">
        <is>
          <t>Revision B</t>
        </is>
      </c>
    </row>
    <row r="31">
      <c r="A31" s="2" t="inlineStr">
        <is>
          <t>REVS</t>
        </is>
      </c>
      <c r="B31" s="2" t="inlineStr">
        <is>
          <t>C</t>
        </is>
      </c>
      <c r="C31" s="2" t="inlineStr">
        <is>
          <t>Revision C</t>
        </is>
      </c>
    </row>
    <row r="32">
      <c r="A32" s="2" t="inlineStr">
        <is>
          <t>REVS</t>
        </is>
      </c>
      <c r="B32" s="2" t="inlineStr">
        <is>
          <t>D</t>
        </is>
      </c>
      <c r="C32" s="2" t="inlineStr">
        <is>
          <t>Revision D</t>
        </is>
      </c>
    </row>
    <row r="33">
      <c r="A33" s="2" t="inlineStr">
        <is>
          <t>REVS</t>
        </is>
      </c>
      <c r="B33" s="2" t="inlineStr">
        <is>
          <t>E</t>
        </is>
      </c>
      <c r="C33" s="2" t="inlineStr">
        <is>
          <t>Revision E</t>
        </is>
      </c>
    </row>
    <row r="34">
      <c r="A34" s="2" t="inlineStr">
        <is>
          <t>REVS</t>
        </is>
      </c>
      <c r="B34" s="2" t="inlineStr">
        <is>
          <t>F</t>
        </is>
      </c>
      <c r="C34" s="2" t="inlineStr">
        <is>
          <t>Revision F</t>
        </is>
      </c>
    </row>
    <row r="35">
      <c r="A35" s="2" t="inlineStr">
        <is>
          <t>REVS</t>
        </is>
      </c>
      <c r="B35" s="2" t="inlineStr">
        <is>
          <t>G</t>
        </is>
      </c>
      <c r="C35" s="2" t="inlineStr">
        <is>
          <t>Revision G</t>
        </is>
      </c>
    </row>
    <row r="36">
      <c r="A36" s="2" t="inlineStr">
        <is>
          <t>REVS</t>
        </is>
      </c>
      <c r="B36" s="2" t="inlineStr">
        <is>
          <t>H</t>
        </is>
      </c>
      <c r="C36" s="2" t="inlineStr">
        <is>
          <t>Revision H</t>
        </is>
      </c>
    </row>
    <row r="37">
      <c r="A37" s="2" t="inlineStr">
        <is>
          <t>PROMO_TYPES</t>
        </is>
      </c>
      <c r="B37" s="2" t="inlineStr">
        <is>
          <t>LAUNCH</t>
        </is>
      </c>
      <c r="C37" s="2" t="inlineStr">
        <is>
          <t>Launch</t>
        </is>
      </c>
    </row>
    <row r="38">
      <c r="A38" s="2" t="inlineStr">
        <is>
          <t>PROMO_TYPES</t>
        </is>
      </c>
      <c r="B38" s="2" t="inlineStr">
        <is>
          <t>BUNDLE</t>
        </is>
      </c>
      <c r="C38" s="2" t="inlineStr">
        <is>
          <t>Bundle</t>
        </is>
      </c>
    </row>
    <row r="39">
      <c r="A39" s="2" t="inlineStr">
        <is>
          <t>PROMO_TYPES</t>
        </is>
      </c>
      <c r="B39" s="2" t="inlineStr">
        <is>
          <t>SEASONAL</t>
        </is>
      </c>
      <c r="C39" s="2" t="inlineStr">
        <is>
          <t>Seasonal</t>
        </is>
      </c>
    </row>
    <row r="40">
      <c r="A40" s="2" t="inlineStr">
        <is>
          <t>PROMO_TYPES</t>
        </is>
      </c>
      <c r="B40" s="2" t="inlineStr">
        <is>
          <t>CLEARANCE</t>
        </is>
      </c>
      <c r="C40" s="2" t="inlineStr">
        <is>
          <t>Clearance</t>
        </is>
      </c>
    </row>
    <row r="41">
      <c r="A41" s="2" t="inlineStr">
        <is>
          <t>CHANNELS</t>
        </is>
      </c>
      <c r="B41" s="2" t="inlineStr">
        <is>
          <t>WEB</t>
        </is>
      </c>
      <c r="C41" s="2" t="inlineStr">
        <is>
          <t>Web</t>
        </is>
      </c>
    </row>
    <row r="42">
      <c r="A42" s="2" t="inlineStr">
        <is>
          <t>CHANNELS</t>
        </is>
      </c>
      <c r="B42" s="2" t="inlineStr">
        <is>
          <t>DEALER</t>
        </is>
      </c>
      <c r="C42" s="2" t="inlineStr">
        <is>
          <t>Dealer</t>
        </is>
      </c>
    </row>
    <row r="43">
      <c r="A43" s="2" t="inlineStr">
        <is>
          <t>CHANNELS</t>
        </is>
      </c>
      <c r="B43" s="2" t="inlineStr">
        <is>
          <t>DIRECT</t>
        </is>
      </c>
      <c r="C43" s="2" t="inlineStr">
        <is>
          <t>Direct</t>
        </is>
      </c>
    </row>
    <row r="44">
      <c r="A44" s="2" t="inlineStr">
        <is>
          <t>CHANNELS</t>
        </is>
      </c>
      <c r="B44" s="2" t="inlineStr">
        <is>
          <t>B2B</t>
        </is>
      </c>
      <c r="C44" s="2" t="inlineStr">
        <is>
          <t>B2B/Commercial</t>
        </is>
      </c>
    </row>
    <row r="45">
      <c r="A45" s="2" t="inlineStr">
        <is>
          <t>CUSTOMERS</t>
        </is>
      </c>
      <c r="B45" s="2" t="inlineStr">
        <is>
          <t>BACKYARD</t>
        </is>
      </c>
      <c r="C45" s="2" t="inlineStr">
        <is>
          <t>Backyard</t>
        </is>
      </c>
    </row>
    <row r="46">
      <c r="A46" s="2" t="inlineStr">
        <is>
          <t>CUSTOMERS</t>
        </is>
      </c>
      <c r="B46" s="2" t="inlineStr">
        <is>
          <t>HOMESTEAD</t>
        </is>
      </c>
      <c r="C46" s="2" t="inlineStr">
        <is>
          <t>Homestead</t>
        </is>
      </c>
    </row>
    <row r="47">
      <c r="A47" s="2" t="inlineStr">
        <is>
          <t>CUSTOMERS</t>
        </is>
      </c>
      <c r="B47" s="2" t="inlineStr">
        <is>
          <t>COMMERCIAL</t>
        </is>
      </c>
      <c r="C47" s="2" t="inlineStr">
        <is>
          <t>Commercial</t>
        </is>
      </c>
    </row>
    <row r="48">
      <c r="A48" s="2" t="inlineStr">
        <is>
          <t>SUBSYSTEMS</t>
        </is>
      </c>
      <c r="B48" s="2" t="inlineStr">
        <is>
          <t>Motion</t>
        </is>
      </c>
      <c r="C48" s="2" t="inlineStr">
        <is>
          <t>Motion</t>
        </is>
      </c>
    </row>
    <row r="49">
      <c r="A49" s="2" t="inlineStr">
        <is>
          <t>SUBSYSTEMS</t>
        </is>
      </c>
      <c r="B49" s="2" t="inlineStr">
        <is>
          <t>Control</t>
        </is>
      </c>
      <c r="C49" s="2" t="inlineStr">
        <is>
          <t>Control</t>
        </is>
      </c>
    </row>
    <row r="50">
      <c r="A50" s="2" t="inlineStr">
        <is>
          <t>SUBSYSTEMS</t>
        </is>
      </c>
      <c r="B50" s="2" t="inlineStr">
        <is>
          <t>Power</t>
        </is>
      </c>
      <c r="C50" s="2" t="inlineStr">
        <is>
          <t>Power</t>
        </is>
      </c>
    </row>
    <row r="51">
      <c r="A51" s="2" t="inlineStr">
        <is>
          <t>SUBSYSTEMS</t>
        </is>
      </c>
      <c r="B51" s="2" t="inlineStr">
        <is>
          <t>Sensors</t>
        </is>
      </c>
      <c r="C51" s="2" t="inlineStr">
        <is>
          <t>Sensors</t>
        </is>
      </c>
    </row>
    <row r="52">
      <c r="A52" s="2" t="inlineStr">
        <is>
          <t>SUBSYSTEMS</t>
        </is>
      </c>
      <c r="B52" s="2" t="inlineStr">
        <is>
          <t>Actuation</t>
        </is>
      </c>
      <c r="C52" s="2" t="inlineStr">
        <is>
          <t>Actuation</t>
        </is>
      </c>
    </row>
    <row r="53">
      <c r="A53" s="2" t="inlineStr">
        <is>
          <t>SUBSYSTEMS</t>
        </is>
      </c>
      <c r="B53" s="2" t="inlineStr">
        <is>
          <t>Enclosure</t>
        </is>
      </c>
      <c r="C53" s="2" t="inlineStr">
        <is>
          <t>Enclosure</t>
        </is>
      </c>
    </row>
    <row r="54">
      <c r="A54" s="2" t="inlineStr">
        <is>
          <t>SUBSYSTEMS</t>
        </is>
      </c>
      <c r="B54" s="2" t="inlineStr">
        <is>
          <t>Networking</t>
        </is>
      </c>
      <c r="C54" s="2" t="inlineStr">
        <is>
          <t>Networking</t>
        </is>
      </c>
    </row>
    <row r="55">
      <c r="A55" s="2" t="inlineStr">
        <is>
          <t>SUBSYSTEMS</t>
        </is>
      </c>
      <c r="B55" s="2" t="inlineStr">
        <is>
          <t>Structure</t>
        </is>
      </c>
      <c r="C55" s="2" t="inlineStr">
        <is>
          <t>Structure</t>
        </is>
      </c>
    </row>
    <row r="56">
      <c r="A56" t="inlineStr">
        <is>
          <t>Device_Family</t>
        </is>
      </c>
      <c r="B56" t="inlineStr">
        <is>
          <t>PIG</t>
        </is>
      </c>
      <c r="C56" t="inlineStr">
        <is>
          <t>Swine Systems (Future)</t>
        </is>
      </c>
    </row>
    <row r="57">
      <c r="A57" t="inlineStr">
        <is>
          <t>Device_Family</t>
        </is>
      </c>
      <c r="B57" t="inlineStr">
        <is>
          <t>SHEP</t>
        </is>
      </c>
      <c r="C57" t="inlineStr">
        <is>
          <t>Sheep Systems (Future)</t>
        </is>
      </c>
    </row>
    <row r="58">
      <c r="A58" t="inlineStr">
        <is>
          <t>Device_Family</t>
        </is>
      </c>
      <c r="B58" t="inlineStr">
        <is>
          <t>QAIL</t>
        </is>
      </c>
      <c r="C58" t="inlineStr">
        <is>
          <t>Quail Systems (Future)</t>
        </is>
      </c>
    </row>
    <row r="59">
      <c r="A59" t="inlineStr">
        <is>
          <t>Device_Family</t>
        </is>
      </c>
      <c r="B59" t="inlineStr">
        <is>
          <t>AQUA</t>
        </is>
      </c>
      <c r="C59" t="inlineStr">
        <is>
          <t>Aquatic Systems (Future)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0" customWidth="1" min="4" max="4"/>
    <col width="44" customWidth="1" min="5" max="5"/>
  </cols>
  <sheetData>
    <row r="1">
      <c r="A1" s="3" t="inlineStr">
        <is>
          <t>INSTRUCTIONS: Foundational assumptions (dimensions, voltages, materials). Changing values here may impact multiple products.</t>
        </is>
      </c>
    </row>
    <row r="2">
      <c r="A2" s="1" t="inlineStr">
        <is>
          <t>Category</t>
        </is>
      </c>
      <c r="B2" s="1" t="inlineStr">
        <is>
          <t>Parameter</t>
        </is>
      </c>
      <c r="C2" s="1" t="inlineStr">
        <is>
          <t>Value</t>
        </is>
      </c>
      <c r="D2" s="1" t="inlineStr">
        <is>
          <t>Units</t>
        </is>
      </c>
      <c r="E2" s="1" t="inlineStr">
        <is>
          <t>Notes</t>
        </is>
      </c>
    </row>
    <row r="3">
      <c r="A3" s="2" t="inlineStr">
        <is>
          <t>Lumber (Actual)</t>
        </is>
      </c>
      <c r="B3" s="2" t="inlineStr">
        <is>
          <t>4×4 Post</t>
        </is>
      </c>
      <c r="C3" s="2" t="inlineStr">
        <is>
          <t>3.5 × 3.5</t>
        </is>
      </c>
      <c r="D3" s="2" t="inlineStr">
        <is>
          <t>in</t>
        </is>
      </c>
      <c r="E3" s="2" t="inlineStr">
        <is>
          <t>Actual dimensional lumber size</t>
        </is>
      </c>
    </row>
    <row r="4">
      <c r="A4" s="2" t="inlineStr">
        <is>
          <t>Lumber (Actual)</t>
        </is>
      </c>
      <c r="B4" s="2" t="inlineStr">
        <is>
          <t>2×4 Stud</t>
        </is>
      </c>
      <c r="C4" s="2" t="inlineStr">
        <is>
          <t>1.5 × 3.5</t>
        </is>
      </c>
      <c r="D4" s="2" t="inlineStr">
        <is>
          <t>in</t>
        </is>
      </c>
      <c r="E4" s="2" t="inlineStr">
        <is>
          <t>Actual dimensional lumber size</t>
        </is>
      </c>
    </row>
    <row r="5">
      <c r="A5" s="2" t="inlineStr">
        <is>
          <t>Lumber (Sheet)</t>
        </is>
      </c>
      <c r="B5" s="2" t="inlineStr">
        <is>
          <t>Plywood</t>
        </is>
      </c>
      <c r="C5" s="2" t="inlineStr">
        <is>
          <t>0.75</t>
        </is>
      </c>
      <c r="D5" s="2" t="inlineStr">
        <is>
          <t>in</t>
        </is>
      </c>
      <c r="E5" s="2" t="inlineStr">
        <is>
          <t>3/4" plywood thickness</t>
        </is>
      </c>
    </row>
    <row r="6">
      <c r="A6" s="2" t="inlineStr">
        <is>
          <t>Robot Safety</t>
        </is>
      </c>
      <c r="B6" s="2" t="inlineStr">
        <is>
          <t>Global clearance</t>
        </is>
      </c>
      <c r="C6" s="2" t="inlineStr">
        <is>
          <t>1.5</t>
        </is>
      </c>
      <c r="D6" s="2" t="inlineStr">
        <is>
          <t>in</t>
        </is>
      </c>
      <c r="E6" s="2" t="inlineStr">
        <is>
          <t>Frame wall clearance for warp + fasteners</t>
        </is>
      </c>
    </row>
    <row r="7">
      <c r="A7" s="2" t="inlineStr">
        <is>
          <t>Robot Zone</t>
        </is>
      </c>
      <c r="B7" s="2" t="inlineStr">
        <is>
          <t>Tall platform work cube</t>
        </is>
      </c>
      <c r="C7" s="2" t="inlineStr">
        <is>
          <t>48 × 48 × 48</t>
        </is>
      </c>
      <c r="D7" s="2" t="inlineStr">
        <is>
          <t>in</t>
        </is>
      </c>
      <c r="E7" s="2" t="inlineStr">
        <is>
          <t>4×4×4 robot keep-in volume within 4×4×8 cell</t>
        </is>
      </c>
    </row>
    <row r="8">
      <c r="A8" s="2" t="inlineStr">
        <is>
          <t>Waste Module</t>
        </is>
      </c>
      <c r="B8" s="2" t="inlineStr">
        <is>
          <t>Poop bin cassette height</t>
        </is>
      </c>
      <c r="C8" s="2" t="inlineStr">
        <is>
          <t>8</t>
        </is>
      </c>
      <c r="D8" s="2" t="inlineStr">
        <is>
          <t>in</t>
        </is>
      </c>
      <c r="E8" s="2" t="inlineStr">
        <is>
          <t>Slide-out bin target external height</t>
        </is>
      </c>
    </row>
    <row r="9">
      <c r="A9" s="2" t="inlineStr">
        <is>
          <t>Bedding</t>
        </is>
      </c>
      <c r="B9" s="2" t="inlineStr">
        <is>
          <t>Deep litter target (typical)</t>
        </is>
      </c>
      <c r="C9" s="2" t="inlineStr">
        <is>
          <t>6–12</t>
        </is>
      </c>
      <c r="D9" s="2" t="inlineStr">
        <is>
          <t>in</t>
        </is>
      </c>
      <c r="E9" s="2" t="inlineStr">
        <is>
          <t>Operational range; affects bed keep-out envelope</t>
        </is>
      </c>
    </row>
    <row r="10">
      <c r="A10" s="2" t="inlineStr">
        <is>
          <t>Power</t>
        </is>
      </c>
      <c r="B10" s="2" t="inlineStr">
        <is>
          <t>Stepper rail PSU</t>
        </is>
      </c>
      <c r="C10" s="2" t="inlineStr">
        <is>
          <t>36</t>
        </is>
      </c>
      <c r="D10" s="2" t="inlineStr">
        <is>
          <t>V</t>
        </is>
      </c>
      <c r="E10" s="2" t="inlineStr">
        <is>
          <t>Recommended for NEMA23 + TB6600 systems</t>
        </is>
      </c>
    </row>
    <row r="11">
      <c r="A11" s="2" t="inlineStr">
        <is>
          <t>Power</t>
        </is>
      </c>
      <c r="B11" s="2" t="inlineStr">
        <is>
          <t>Aux rail</t>
        </is>
      </c>
      <c r="C11" s="2" t="inlineStr">
        <is>
          <t>12</t>
        </is>
      </c>
      <c r="D11" s="2" t="inlineStr">
        <is>
          <t>V</t>
        </is>
      </c>
      <c r="E11" s="2" t="inlineStr">
        <is>
          <t>Sensors, lights, actuators</t>
        </is>
      </c>
    </row>
    <row r="12">
      <c r="A12" s="2" t="inlineStr">
        <is>
          <t>Control</t>
        </is>
      </c>
      <c r="B12" s="2" t="inlineStr">
        <is>
          <t>Stepper interface</t>
        </is>
      </c>
      <c r="C12" s="2" t="inlineStr">
        <is>
          <t>STEP/DIR</t>
        </is>
      </c>
      <c r="D12" s="2" t="inlineStr">
        <is>
          <t>—</t>
        </is>
      </c>
      <c r="E12" s="2" t="inlineStr">
        <is>
          <t>TB6600 driver control signals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0" customWidth="1" min="4" max="4"/>
    <col width="12" customWidth="1" min="5" max="5"/>
    <col width="9" customWidth="1" min="6" max="6"/>
    <col width="20" customWidth="1" min="7" max="7"/>
    <col width="14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34" customWidth="1" min="14" max="14"/>
    <col width="14" customWidth="1" min="15" max="15"/>
    <col width="28" customWidth="1" min="16" max="16"/>
    <col width="28" customWidth="1" min="17" max="17"/>
  </cols>
  <sheetData>
    <row r="1">
      <c r="A1" s="3" t="inlineStr">
        <is>
          <t>INSTRUCTIONS: This is the single source of truth for all Tender Cells products. Add one row per sellable product or major module. Use dropdowns only. Do not edit formulas. SKUs auto-generate from family, size, variant, and revision.</t>
        </is>
      </c>
    </row>
    <row r="2">
      <c r="A2" s="1" t="inlineStr">
        <is>
          <t>Product_ID</t>
        </is>
      </c>
      <c r="B2" s="1" t="inlineStr">
        <is>
          <t>Product_Name</t>
        </is>
      </c>
      <c r="C2" s="1" t="inlineStr">
        <is>
          <t>Family_Code</t>
        </is>
      </c>
      <c r="D2" s="1" t="inlineStr">
        <is>
          <t>Size_Code</t>
        </is>
      </c>
      <c r="E2" s="1" t="inlineStr">
        <is>
          <t>Variant_Code</t>
        </is>
      </c>
      <c r="F2" s="1" t="inlineStr">
        <is>
          <t>Revision</t>
        </is>
      </c>
      <c r="G2" s="1" t="inlineStr">
        <is>
          <t>SKU (auto)</t>
        </is>
      </c>
      <c r="H2" s="1" t="inlineStr">
        <is>
          <t>Product_Phase</t>
        </is>
      </c>
      <c r="I2" s="1" t="inlineStr">
        <is>
          <t>Active</t>
        </is>
      </c>
      <c r="J2" s="1" t="inlineStr">
        <is>
          <t>Compat_S</t>
        </is>
      </c>
      <c r="K2" s="1" t="inlineStr">
        <is>
          <t>Compat_M</t>
        </is>
      </c>
      <c r="L2" s="1" t="inlineStr">
        <is>
          <t>Compat_T</t>
        </is>
      </c>
      <c r="M2" s="1" t="inlineStr">
        <is>
          <t>Compat_L</t>
        </is>
      </c>
      <c r="N2" s="1" t="inlineStr">
        <is>
          <t>Short_Description</t>
        </is>
      </c>
      <c r="O2" s="1" t="inlineStr">
        <is>
          <t>Owner (Team)</t>
        </is>
      </c>
      <c r="P2" s="1" t="inlineStr">
        <is>
          <t>Value_Prop_Summary</t>
        </is>
      </c>
      <c r="Q2" s="1" t="inlineStr">
        <is>
          <t>Notes</t>
        </is>
      </c>
    </row>
    <row r="3">
      <c r="A3" s="2" t="inlineStr">
        <is>
          <t>TC-PRD-0001</t>
        </is>
      </c>
      <c r="B3" s="2" t="inlineStr">
        <is>
          <t>Chicken Tender Cell – Small (3×3×5)</t>
        </is>
      </c>
      <c r="C3" s="2" t="inlineStr">
        <is>
          <t>CELL</t>
        </is>
      </c>
      <c r="D3" s="2" t="inlineStr">
        <is>
          <t>S</t>
        </is>
      </c>
      <c r="E3" s="2" t="inlineStr">
        <is>
          <t>BASE</t>
        </is>
      </c>
      <c r="F3" s="2" t="inlineStr">
        <is>
          <t>A</t>
        </is>
      </c>
      <c r="G3" s="2">
        <f>IF($C2="","", "TC-"&amp;$C2&amp;IF($D2&lt;&gt;"","-"&amp;$D2,"")&amp;IF($E2&lt;&gt;"","-"&amp;$E2,"")&amp;"-"&amp;$F2)</f>
        <v/>
      </c>
      <c r="H3" s="2" t="inlineStr">
        <is>
          <t>PROTO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Wood frame cell enclosure. 4×4 posts + 2×4 bracing.</t>
        </is>
      </c>
      <c r="O3" s="2" t="inlineStr">
        <is>
          <t>MECH</t>
        </is>
      </c>
      <c r="P3" s="2" t="inlineStr">
        <is>
          <t>Starter platform; modular add-ons.</t>
        </is>
      </c>
      <c r="Q3" s="2" t="inlineStr"/>
    </row>
    <row r="4">
      <c r="A4" s="2" t="inlineStr">
        <is>
          <t>TC-PRD-0002</t>
        </is>
      </c>
      <c r="B4" s="2" t="inlineStr">
        <is>
          <t>Chicken Tender Cell – Medium (4×4×6)</t>
        </is>
      </c>
      <c r="C4" s="2" t="inlineStr">
        <is>
          <t>CELL</t>
        </is>
      </c>
      <c r="D4" s="2" t="inlineStr">
        <is>
          <t>M</t>
        </is>
      </c>
      <c r="E4" s="2" t="inlineStr">
        <is>
          <t>BASE</t>
        </is>
      </c>
      <c r="F4" s="2" t="inlineStr">
        <is>
          <t>A</t>
        </is>
      </c>
      <c r="G4" s="2">
        <f>IF($C3="","", "TC-"&amp;$C3&amp;IF($D3&lt;&gt;"","-"&amp;$D3,"")&amp;IF($E3&lt;&gt;"","-"&amp;$E3,"")&amp;"-"&amp;$F3)</f>
        <v/>
      </c>
      <c r="H4" s="2" t="inlineStr">
        <is>
          <t>PROTO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Medium enclosure with modular interfaces.</t>
        </is>
      </c>
      <c r="O4" s="2" t="inlineStr">
        <is>
          <t>MECH</t>
        </is>
      </c>
      <c r="P4" s="2" t="inlineStr">
        <is>
          <t>More headroom; expandability.</t>
        </is>
      </c>
      <c r="Q4" s="2" t="inlineStr"/>
    </row>
    <row r="5">
      <c r="A5" s="2" t="inlineStr">
        <is>
          <t>TC-PRD-0003</t>
        </is>
      </c>
      <c r="B5" s="2" t="inlineStr">
        <is>
          <t>Chicken Tender Cell – Tall (4×4×8)</t>
        </is>
      </c>
      <c r="C5" s="2" t="inlineStr">
        <is>
          <t>CELL</t>
        </is>
      </c>
      <c r="D5" s="2" t="inlineStr">
        <is>
          <t>T</t>
        </is>
      </c>
      <c r="E5" s="2" t="inlineStr">
        <is>
          <t>PRO</t>
        </is>
      </c>
      <c r="F5" s="2" t="inlineStr">
        <is>
          <t>A</t>
        </is>
      </c>
      <c r="G5" s="2">
        <f>IF($C4="","", "TC-"&amp;$C4&amp;IF($D4&lt;&gt;"","-"&amp;$D4,"")&amp;IF($E4&lt;&gt;"","-"&amp;$E4,"")&amp;"-"&amp;$F4)</f>
        <v/>
      </c>
      <c r="H5" s="2" t="inlineStr">
        <is>
          <t>PROTO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Primary reference build: 4×4×8 with dedicated robot zone.</t>
        </is>
      </c>
      <c r="O5" s="2" t="inlineStr">
        <is>
          <t>MECH</t>
        </is>
      </c>
      <c r="P5" s="2" t="inlineStr">
        <is>
          <t>Robotics-ready platform for gantry/arm.</t>
        </is>
      </c>
      <c r="Q5" s="2" t="inlineStr"/>
    </row>
    <row r="6">
      <c r="A6" s="2" t="inlineStr">
        <is>
          <t>TC-PRD-0004</t>
        </is>
      </c>
      <c r="B6" s="2" t="inlineStr">
        <is>
          <t>Chicken Tender Cell – Large (6×6×8)</t>
        </is>
      </c>
      <c r="C6" s="2" t="inlineStr">
        <is>
          <t>CELL</t>
        </is>
      </c>
      <c r="D6" s="2" t="inlineStr">
        <is>
          <t>L</t>
        </is>
      </c>
      <c r="E6" s="2" t="inlineStr">
        <is>
          <t>PRO</t>
        </is>
      </c>
      <c r="F6" s="2" t="inlineStr">
        <is>
          <t>A</t>
        </is>
      </c>
      <c r="G6" s="2">
        <f>IF($C5="","", "TC-"&amp;$C5&amp;IF($D5&lt;&gt;"","-"&amp;$D5,"")&amp;IF($E5&lt;&gt;"","-"&amp;$E5,"")&amp;"-"&amp;$F5)</f>
        <v/>
      </c>
      <c r="H6" s="2" t="inlineStr">
        <is>
          <t>CONCEPT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Yes</t>
        </is>
      </c>
      <c r="N6" s="2" t="inlineStr">
        <is>
          <t>Large platform for multi-bed and expanded automation.</t>
        </is>
      </c>
      <c r="O6" s="2" t="inlineStr">
        <is>
          <t>MECH</t>
        </is>
      </c>
      <c r="P6" s="2" t="inlineStr">
        <is>
          <t>Higher capacity + modular bays.</t>
        </is>
      </c>
      <c r="Q6" s="2" t="inlineStr"/>
    </row>
    <row r="7">
      <c r="A7" s="2" t="inlineStr">
        <is>
          <t>TC-PRD-0100</t>
        </is>
      </c>
      <c r="B7" s="2" t="inlineStr">
        <is>
          <t>Cartesian Gantry Kit – Small</t>
        </is>
      </c>
      <c r="C7" s="2" t="inlineStr">
        <is>
          <t>GANTRY</t>
        </is>
      </c>
      <c r="D7" s="2" t="inlineStr">
        <is>
          <t>S</t>
        </is>
      </c>
      <c r="E7" s="2" t="inlineStr">
        <is>
          <t>BASE</t>
        </is>
      </c>
      <c r="F7" s="2" t="inlineStr">
        <is>
          <t>A</t>
        </is>
      </c>
      <c r="G7" s="2">
        <f>IF($C6="","", "TC-"&amp;$C6&amp;IF($D6&lt;&gt;"","-"&amp;$D6,"")&amp;IF($E6&lt;&gt;"","-"&amp;$E6,"")&amp;"-"&amp;$F6)</f>
        <v/>
      </c>
      <c r="H7" s="2" t="inlineStr">
        <is>
          <t>PROTO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XYZ gantry for 3×3 footprint; TB6600 compatible.</t>
        </is>
      </c>
      <c r="O7" s="2" t="inlineStr">
        <is>
          <t>MECH/ELEC</t>
        </is>
      </c>
      <c r="P7" s="2" t="inlineStr">
        <is>
          <t>Automated motion backbone.</t>
        </is>
      </c>
      <c r="Q7" s="2" t="inlineStr"/>
    </row>
    <row r="8">
      <c r="A8" s="2" t="inlineStr">
        <is>
          <t>TC-PRD-0101</t>
        </is>
      </c>
      <c r="B8" s="2" t="inlineStr">
        <is>
          <t>Cartesian Gantry Kit – Medium</t>
        </is>
      </c>
      <c r="C8" s="2" t="inlineStr">
        <is>
          <t>GANTRY</t>
        </is>
      </c>
      <c r="D8" s="2" t="inlineStr">
        <is>
          <t>M</t>
        </is>
      </c>
      <c r="E8" s="2" t="inlineStr">
        <is>
          <t>BASE</t>
        </is>
      </c>
      <c r="F8" s="2" t="inlineStr">
        <is>
          <t>A</t>
        </is>
      </c>
      <c r="G8" s="2">
        <f>IF($C7="","", "TC-"&amp;$C7&amp;IF($D7&lt;&gt;"","-"&amp;$D7,"")&amp;IF($E7&lt;&gt;"","-"&amp;$E7,"")&amp;"-"&amp;$F7)</f>
        <v/>
      </c>
      <c r="H8" s="2" t="inlineStr">
        <is>
          <t>PROTO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XYZ gantry for 4×4×6; rails sized for M.</t>
        </is>
      </c>
      <c r="O8" s="2" t="inlineStr">
        <is>
          <t>MECH/ELEC</t>
        </is>
      </c>
      <c r="P8" s="2" t="inlineStr">
        <is>
          <t>Same electronics; resized rails/extrusion.</t>
        </is>
      </c>
      <c r="Q8" s="2" t="inlineStr"/>
    </row>
    <row r="9">
      <c r="A9" s="2" t="inlineStr">
        <is>
          <t>TC-PRD-0102</t>
        </is>
      </c>
      <c r="B9" s="2" t="inlineStr">
        <is>
          <t>Cartesian Gantry Kit – Tall</t>
        </is>
      </c>
      <c r="C9" s="2" t="inlineStr">
        <is>
          <t>GANTRY</t>
        </is>
      </c>
      <c r="D9" s="2" t="inlineStr">
        <is>
          <t>T</t>
        </is>
      </c>
      <c r="E9" s="2" t="inlineStr">
        <is>
          <t>PRO</t>
        </is>
      </c>
      <c r="F9" s="2" t="inlineStr">
        <is>
          <t>A</t>
        </is>
      </c>
      <c r="G9" s="2">
        <f>IF($C8="","", "TC-"&amp;$C8&amp;IF($D8&lt;&gt;"","-"&amp;$D8,"")&amp;IF($E8&lt;&gt;"","-"&amp;$E8,"")&amp;"-"&amp;$F8)</f>
        <v/>
      </c>
      <c r="H9" s="2" t="inlineStr">
        <is>
          <t>PROTO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XYZ gantry for 4×4×8; supports bolt-on arm later.</t>
        </is>
      </c>
      <c r="O9" s="2" t="inlineStr">
        <is>
          <t>MECH/ELEC</t>
        </is>
      </c>
      <c r="P9" s="2" t="inlineStr">
        <is>
          <t>Core robotics backbone.</t>
        </is>
      </c>
      <c r="Q9" s="2" t="inlineStr"/>
    </row>
    <row r="10">
      <c r="A10" s="2" t="inlineStr">
        <is>
          <t>TC-PRD-0103</t>
        </is>
      </c>
      <c r="B10" s="2" t="inlineStr">
        <is>
          <t>Cartesian Gantry Kit – Large</t>
        </is>
      </c>
      <c r="C10" s="2" t="inlineStr">
        <is>
          <t>GANTRY</t>
        </is>
      </c>
      <c r="D10" s="2" t="inlineStr">
        <is>
          <t>L</t>
        </is>
      </c>
      <c r="E10" s="2" t="inlineStr">
        <is>
          <t>PRO</t>
        </is>
      </c>
      <c r="F10" s="2" t="inlineStr">
        <is>
          <t>A</t>
        </is>
      </c>
      <c r="G10" s="2">
        <f>IF($C9="","", "TC-"&amp;$C9&amp;IF($D9&lt;&gt;"","-"&amp;$D9,"")&amp;IF($E9&lt;&gt;"","-"&amp;$E9,"")&amp;"-"&amp;$F9)</f>
        <v/>
      </c>
      <c r="H10" s="2" t="inlineStr">
        <is>
          <t>CONCEPT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Yes</t>
        </is>
      </c>
      <c r="N10" s="2" t="inlineStr">
        <is>
          <t>XYZ gantry for 6×6×8; stiffer rails recommended.</t>
        </is>
      </c>
      <c r="O10" s="2" t="inlineStr">
        <is>
          <t>MECH/ELEC</t>
        </is>
      </c>
      <c r="P10" s="2" t="inlineStr">
        <is>
          <t>Scaled envelope for large cell.</t>
        </is>
      </c>
      <c r="Q10" s="2" t="inlineStr"/>
    </row>
    <row r="11">
      <c r="A11" s="2" t="inlineStr">
        <is>
          <t>TC-PRD-0200</t>
        </is>
      </c>
      <c r="B11" s="2" t="inlineStr">
        <is>
          <t>Poop Bin Drawer – 8in Cassette</t>
        </is>
      </c>
      <c r="C11" s="2" t="inlineStr">
        <is>
          <t>BIN</t>
        </is>
      </c>
      <c r="D11" s="2" t="inlineStr"/>
      <c r="E11" s="2" t="inlineStr">
        <is>
          <t>BASE</t>
        </is>
      </c>
      <c r="F11" s="2" t="inlineStr">
        <is>
          <t>A</t>
        </is>
      </c>
      <c r="G11" s="2">
        <f>IF($C10="","", "TC-"&amp;$C10&amp;IF($D10&lt;&gt;"","-"&amp;$D10,"")&amp;IF($E10&lt;&gt;"","-"&amp;$E10,"")&amp;"-"&amp;$F10)</f>
        <v/>
      </c>
      <c r="H11" s="2" t="inlineStr">
        <is>
          <t>PROTO</t>
        </is>
      </c>
      <c r="I11" s="2" t="inlineStr">
        <is>
          <t>Yes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8-inch-tall slide-out manure bin cassette with door access.</t>
        </is>
      </c>
      <c r="O11" s="2" t="inlineStr">
        <is>
          <t>MECH</t>
        </is>
      </c>
      <c r="P11" s="2" t="inlineStr">
        <is>
          <t>Fast clean-out without disturbing bedding.</t>
        </is>
      </c>
      <c r="Q11" s="2" t="inlineStr"/>
    </row>
    <row r="12">
      <c r="A12" s="2" t="inlineStr">
        <is>
          <t>TC-PRD-0210</t>
        </is>
      </c>
      <c r="B12" s="2" t="inlineStr">
        <is>
          <t>Poop Bin Sensor Add-on (seated/door)</t>
        </is>
      </c>
      <c r="C12" s="2" t="inlineStr">
        <is>
          <t>SENS</t>
        </is>
      </c>
      <c r="D12" s="2" t="inlineStr"/>
      <c r="E12" s="2" t="inlineStr">
        <is>
          <t>PRO</t>
        </is>
      </c>
      <c r="F12" s="2" t="inlineStr">
        <is>
          <t>A</t>
        </is>
      </c>
      <c r="G12" s="2">
        <f>IF($C11="","", "TC-"&amp;$C11&amp;IF($D11&lt;&gt;"","-"&amp;$D11,"")&amp;IF($E11&lt;&gt;"","-"&amp;$E11,"")&amp;"-"&amp;$F11)</f>
        <v/>
      </c>
      <c r="H12" s="2" t="inlineStr">
        <is>
          <t>CONCEPT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Optional sensors to detect bin seated + door closed.</t>
        </is>
      </c>
      <c r="O12" s="2" t="inlineStr">
        <is>
          <t>ELEC</t>
        </is>
      </c>
      <c r="P12" s="2" t="inlineStr">
        <is>
          <t>Adds interlocks for automation.</t>
        </is>
      </c>
      <c r="Q12" s="2" t="inlineStr"/>
    </row>
    <row r="13">
      <c r="A13" s="2" t="inlineStr">
        <is>
          <t>TC-PRD-0300</t>
        </is>
      </c>
      <c r="B13" s="2" t="inlineStr">
        <is>
          <t>Deployable Roost Poles – Wall Mounted</t>
        </is>
      </c>
      <c r="C13" s="2" t="inlineStr">
        <is>
          <t>ROOST</t>
        </is>
      </c>
      <c r="D13" s="2" t="inlineStr"/>
      <c r="E13" s="2" t="inlineStr">
        <is>
          <t>NIGHT</t>
        </is>
      </c>
      <c r="F13" s="2" t="inlineStr">
        <is>
          <t>A</t>
        </is>
      </c>
      <c r="G13" s="2">
        <f>IF($C12="","", "TC-"&amp;$C12&amp;IF($D12&lt;&gt;"","-"&amp;$D12,"")&amp;IF($E12&lt;&gt;"","-"&amp;$E12,"")&amp;"-"&amp;$F12)</f>
        <v/>
      </c>
      <c r="H13" s="2" t="inlineStr">
        <is>
          <t>CONCEPT</t>
        </is>
      </c>
      <c r="I13" s="2" t="inlineStr">
        <is>
          <t>Yes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Roost poles deploy/retract; allowed into robot space only when robot parked.</t>
        </is>
      </c>
      <c r="O13" s="2" t="inlineStr">
        <is>
          <t>MECH/ELEC</t>
        </is>
      </c>
      <c r="P13" s="2" t="inlineStr">
        <is>
          <t>Night routine comfort + modular heights.</t>
        </is>
      </c>
      <c r="Q13" s="2" t="inlineStr"/>
    </row>
    <row r="14">
      <c r="A14" s="2" t="inlineStr">
        <is>
          <t>TC-PRD-0400</t>
        </is>
      </c>
      <c r="B14" s="2" t="inlineStr">
        <is>
          <t>Predator Monitor – UFO NightVision (Solar)</t>
        </is>
      </c>
      <c r="C14" s="2" t="inlineStr">
        <is>
          <t>PRED</t>
        </is>
      </c>
      <c r="D14" s="2" t="inlineStr"/>
      <c r="E14" s="2" t="inlineStr">
        <is>
          <t>SOLAR</t>
        </is>
      </c>
      <c r="F14" s="2" t="inlineStr">
        <is>
          <t>A</t>
        </is>
      </c>
      <c r="G14" s="2">
        <f>IF($C13="","", "TC-"&amp;$C13&amp;IF($D13&lt;&gt;"","-"&amp;$D13,"")&amp;IF($E13&lt;&gt;"","-"&amp;$E13,"")&amp;"-"&amp;$F13)</f>
        <v/>
      </c>
      <c r="H14" s="2" t="inlineStr">
        <is>
          <t>PROTO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360° night vision monitor with IR illumination, motion sensors, LED deterrence, solar power.</t>
        </is>
      </c>
      <c r="O14" s="2" t="inlineStr">
        <is>
          <t>ELEC</t>
        </is>
      </c>
      <c r="P14" s="2" t="inlineStr">
        <is>
          <t>Detect + deter predators; logging.</t>
        </is>
      </c>
      <c r="Q14" s="2" t="inlineStr"/>
    </row>
    <row r="15">
      <c r="A15" s="2" t="inlineStr">
        <is>
          <t>TC-PRD-0410</t>
        </is>
      </c>
      <c r="B15" s="2" t="inlineStr">
        <is>
          <t>Predator Sensor Kit (PIR+Radar+Thermal opt.)</t>
        </is>
      </c>
      <c r="C15" s="2" t="inlineStr">
        <is>
          <t>SENS</t>
        </is>
      </c>
      <c r="D15" s="2" t="inlineStr"/>
      <c r="E15" s="2" t="inlineStr">
        <is>
          <t>PRO</t>
        </is>
      </c>
      <c r="F15" s="2" t="inlineStr">
        <is>
          <t>A</t>
        </is>
      </c>
      <c r="G15" s="2">
        <f>IF($C14="","", "TC-"&amp;$C14&amp;IF($D14&lt;&gt;"","-"&amp;$D14,"")&amp;IF($E14&lt;&gt;"","-"&amp;$E14,"")&amp;"-"&amp;$F14)</f>
        <v/>
      </c>
      <c r="H15" s="2" t="inlineStr">
        <is>
          <t>CONCEPT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Yes</t>
        </is>
      </c>
      <c r="M15" s="2" t="inlineStr">
        <is>
          <t>Yes</t>
        </is>
      </c>
      <c r="N15" s="2" t="inlineStr">
        <is>
          <t>Sensor bundle (PIR, radar, optional thermal array).</t>
        </is>
      </c>
      <c r="O15" s="2" t="inlineStr">
        <is>
          <t>ELEC</t>
        </is>
      </c>
      <c r="P15" s="2" t="inlineStr">
        <is>
          <t>Modular sensing upgrades.</t>
        </is>
      </c>
      <c r="Q15" s="2" t="inlineStr"/>
    </row>
    <row r="16">
      <c r="A16" s="2" t="inlineStr">
        <is>
          <t>TC-PRD-0500</t>
        </is>
      </c>
      <c r="B16" s="2" t="inlineStr">
        <is>
          <t>Roaming Roost – Mobile Unit (Solar)</t>
        </is>
      </c>
      <c r="C16" s="2" t="inlineStr">
        <is>
          <t>MOBILE</t>
        </is>
      </c>
      <c r="D16" s="2" t="inlineStr"/>
      <c r="E16" s="2" t="inlineStr">
        <is>
          <t>SOLAR</t>
        </is>
      </c>
      <c r="F16" s="2" t="inlineStr">
        <is>
          <t>A</t>
        </is>
      </c>
      <c r="G16" s="2">
        <f>IF($C15="","", "TC-"&amp;$C15&amp;IF($D15&lt;&gt;"","-"&amp;$D15,"")&amp;IF($E15&lt;&gt;"","-"&amp;$E15,"")&amp;"-"&amp;$F15)</f>
        <v/>
      </c>
      <c r="H16" s="2" t="inlineStr">
        <is>
          <t>CONCEPT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Mobile roost/coop module with solar + remote reporting.</t>
        </is>
      </c>
      <c r="O16" s="2" t="inlineStr">
        <is>
          <t>MECH/ELEC</t>
        </is>
      </c>
      <c r="P16" s="2" t="inlineStr">
        <is>
          <t>Pasture rotation + off-grid.</t>
        </is>
      </c>
      <c r="Q16" s="2" t="inlineStr"/>
    </row>
    <row r="17">
      <c r="A17" s="2" t="inlineStr">
        <is>
          <t>TC-PRD-0600</t>
        </is>
      </c>
      <c r="B17" s="2" t="inlineStr">
        <is>
          <t>Duck Dock – Shelter + Access Platform</t>
        </is>
      </c>
      <c r="C17" s="2" t="inlineStr">
        <is>
          <t>DUCK</t>
        </is>
      </c>
      <c r="D17" s="2" t="inlineStr"/>
      <c r="E17" s="2" t="inlineStr">
        <is>
          <t>BASE</t>
        </is>
      </c>
      <c r="F17" s="2" t="inlineStr">
        <is>
          <t>A</t>
        </is>
      </c>
      <c r="G17" s="2">
        <f>IF($C16="","", "TC-"&amp;$C16&amp;IF($D16&lt;&gt;"","-"&amp;$D16,"")&amp;IF($E16&lt;&gt;"","-"&amp;$E16,"")&amp;"-"&amp;$F16)</f>
        <v/>
      </c>
      <c r="H17" s="2" t="inlineStr">
        <is>
          <t>CONCEPT</t>
        </is>
      </c>
      <c r="I17" s="2" t="inlineStr">
        <is>
          <t>Yes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Yes</t>
        </is>
      </c>
      <c r="M17" s="2" t="inlineStr">
        <is>
          <t>Yes</t>
        </is>
      </c>
      <c r="N17" s="2" t="inlineStr">
        <is>
          <t>Duck shelter/dock module with ramp + service access.</t>
        </is>
      </c>
      <c r="O17" s="2" t="inlineStr">
        <is>
          <t>MECH</t>
        </is>
      </c>
      <c r="P17" s="2" t="inlineStr">
        <is>
          <t>Duck-focused ecosystem module.</t>
        </is>
      </c>
      <c r="Q17" s="2" t="inlineStr"/>
    </row>
    <row r="18">
      <c r="A18" s="2" t="inlineStr">
        <is>
          <t>TC-PRD-0700</t>
        </is>
      </c>
      <c r="B18" s="2" t="inlineStr">
        <is>
          <t>Control Box Kit – ESP32 + TB6600 Harness</t>
        </is>
      </c>
      <c r="C18" s="2" t="inlineStr">
        <is>
          <t>CTRL</t>
        </is>
      </c>
      <c r="D18" s="2" t="inlineStr"/>
      <c r="E18" s="2" t="inlineStr">
        <is>
          <t>PRO</t>
        </is>
      </c>
      <c r="F18" s="2" t="inlineStr">
        <is>
          <t>A</t>
        </is>
      </c>
      <c r="G18" s="2">
        <f>IF($C17="","", "TC-"&amp;$C17&amp;IF($D17&lt;&gt;"","-"&amp;$D17,"")&amp;IF($E17&lt;&gt;"","-"&amp;$E17,"")&amp;"-"&amp;$F17)</f>
        <v/>
      </c>
      <c r="H18" s="2" t="inlineStr">
        <is>
          <t>PROTO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Electronics enclosure kit for gantry (ESP32-S3, TB6600 wiring, PSUs).</t>
        </is>
      </c>
      <c r="O18" s="2" t="inlineStr">
        <is>
          <t>ELEC</t>
        </is>
      </c>
      <c r="P18" s="2" t="inlineStr">
        <is>
          <t>Standard control backbone.</t>
        </is>
      </c>
      <c r="Q18" s="2" t="inlineStr"/>
    </row>
    <row r="19">
      <c r="A19" s="2" t="inlineStr">
        <is>
          <t>TC-PRD-0800</t>
        </is>
      </c>
      <c r="B19" s="2" t="inlineStr">
        <is>
          <t>Solar Power Kit – 12V LiFePO4 + MPPT</t>
        </is>
      </c>
      <c r="C19" s="2" t="inlineStr">
        <is>
          <t>SOLAR</t>
        </is>
      </c>
      <c r="D19" s="2" t="inlineStr"/>
      <c r="E19" s="2" t="inlineStr">
        <is>
          <t>SOLAR</t>
        </is>
      </c>
      <c r="F19" s="2" t="inlineStr">
        <is>
          <t>A</t>
        </is>
      </c>
      <c r="G19" s="2">
        <f>IF($C18="","", "TC-"&amp;$C18&amp;IF($D18&lt;&gt;"","-"&amp;$D18,"")&amp;IF($E18&lt;&gt;"","-"&amp;$E18,"")&amp;"-"&amp;$F18)</f>
        <v/>
      </c>
      <c r="H19" s="2" t="inlineStr">
        <is>
          <t>PROTO</t>
        </is>
      </c>
      <c r="I19" s="2" t="inlineStr">
        <is>
          <t>Yes</t>
        </is>
      </c>
      <c r="J19" s="2" t="inlineStr">
        <is>
          <t>Yes</t>
        </is>
      </c>
      <c r="K19" s="2" t="inlineStr">
        <is>
          <t>Yes</t>
        </is>
      </c>
      <c r="L19" s="2" t="inlineStr">
        <is>
          <t>Yes</t>
        </is>
      </c>
      <c r="M19" s="2" t="inlineStr">
        <is>
          <t>Yes</t>
        </is>
      </c>
      <c r="N19" s="2" t="inlineStr">
        <is>
          <t>Solar + battery + MPPT kit for off-grid modules.</t>
        </is>
      </c>
      <c r="O19" s="2" t="inlineStr">
        <is>
          <t>ELEC</t>
        </is>
      </c>
      <c r="P19" s="2" t="inlineStr">
        <is>
          <t>Off-grid operation.</t>
        </is>
      </c>
      <c r="Q19" s="2" t="inlineStr"/>
    </row>
    <row r="20">
      <c r="A20" s="2" t="inlineStr">
        <is>
          <t>TC-PRD-0900</t>
        </is>
      </c>
      <c r="B20" s="2" t="inlineStr">
        <is>
          <t>Accessory Kit – Cable Chains, Connectors, Mounts</t>
        </is>
      </c>
      <c r="C20" s="2" t="inlineStr">
        <is>
          <t>ACC</t>
        </is>
      </c>
      <c r="D20" s="2" t="inlineStr"/>
      <c r="E20" s="2" t="inlineStr">
        <is>
          <t>BASE</t>
        </is>
      </c>
      <c r="F20" s="2" t="inlineStr">
        <is>
          <t>A</t>
        </is>
      </c>
      <c r="G20" s="2">
        <f>IF($C19="","", "TC-"&amp;$C19&amp;IF($D19&lt;&gt;"","-"&amp;$D19,"")&amp;IF($E19&lt;&gt;"","-"&amp;$E19,"")&amp;"-"&amp;$F19)</f>
        <v/>
      </c>
      <c r="H20" s="2" t="inlineStr">
        <is>
          <t>PROTO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Yes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Drag chains, aviation connectors, brackets, IP-rated grommets.</t>
        </is>
      </c>
      <c r="O20" s="2" t="inlineStr">
        <is>
          <t>MECH/ELEC</t>
        </is>
      </c>
      <c r="P20" s="2" t="inlineStr">
        <is>
          <t>Reliability + serviceability.</t>
        </is>
      </c>
      <c r="Q20" s="2" t="inlineStr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</sheetData>
  <dataValidations count="6">
    <dataValidation sqref="C2:C150" showDropDown="0" showInputMessage="0" showErrorMessage="0" allowBlank="0" type="list">
      <formula1>=FAMILIES</formula1>
    </dataValidation>
    <dataValidation sqref="D2:D150" showDropDown="0" showInputMessage="0" showErrorMessage="0" allowBlank="1" type="list">
      <formula1>=SIZES</formula1>
    </dataValidation>
    <dataValidation sqref="E2:E150" showDropDown="0" showInputMessage="0" showErrorMessage="0" allowBlank="1" type="list">
      <formula1>=VARIANTS</formula1>
    </dataValidation>
    <dataValidation sqref="F2:F150" showDropDown="0" showInputMessage="0" showErrorMessage="0" allowBlank="0" type="list">
      <formula1>=REVS</formula1>
    </dataValidation>
    <dataValidation sqref="H2:H150" showDropDown="0" showInputMessage="0" showErrorMessage="0" allowBlank="0" type="list">
      <formula1>=PHASES</formula1>
    </dataValidation>
    <dataValidation sqref="I2:I150 J2:M150" showDropDown="0" showInputMessage="0" showErrorMessage="0" allowBlank="0" type="list">
      <formula1>=YESNO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20" customWidth="1" min="5" max="5"/>
    <col width="34" customWidth="1" min="6" max="6"/>
  </cols>
  <sheetData>
    <row r="1">
      <c r="A1" s="3" t="inlineStr">
        <is>
          <t>INSTRUCTIONS: This sheet defines deterministic SKU logic. Do not add ad-hoc SKUs elsewhere. Update only when adding new families, variants, or revisions.</t>
        </is>
      </c>
    </row>
    <row r="2">
      <c r="A2" s="1" t="inlineStr">
        <is>
          <t>Family_Code</t>
        </is>
      </c>
      <c r="B2" s="1" t="inlineStr">
        <is>
          <t>Size_Code</t>
        </is>
      </c>
      <c r="C2" s="1" t="inlineStr">
        <is>
          <t>Variant_Code</t>
        </is>
      </c>
      <c r="D2" s="1" t="inlineStr">
        <is>
          <t>Revision</t>
        </is>
      </c>
      <c r="E2" s="1" t="inlineStr">
        <is>
          <t>SKU (auto)</t>
        </is>
      </c>
      <c r="F2" s="1" t="inlineStr">
        <is>
          <t>Notes</t>
        </is>
      </c>
    </row>
    <row r="3">
      <c r="A3" s="2" t="n"/>
      <c r="B3" s="2" t="n"/>
      <c r="C3" s="2" t="n"/>
      <c r="D3" s="2" t="n"/>
      <c r="E3" s="2">
        <f>IF($A2="","", "TC-"&amp;$A2&amp;IF($B2&lt;&gt;"","-"&amp;$B2,"")&amp;IF($C2&lt;&gt;"","-"&amp;$C2,"")&amp;"-"&amp;$D2)</f>
        <v/>
      </c>
      <c r="F3" s="2" t="n"/>
    </row>
    <row r="4">
      <c r="A4" s="2" t="n"/>
      <c r="B4" s="2" t="n"/>
      <c r="C4" s="2" t="n"/>
      <c r="D4" s="2" t="n"/>
      <c r="E4" s="2">
        <f>IF($A3="","", "TC-"&amp;$A3&amp;IF($B3&lt;&gt;"","-"&amp;$B3,"")&amp;IF($C3&lt;&gt;"","-"&amp;$C3,"")&amp;"-"&amp;$D3)</f>
        <v/>
      </c>
      <c r="F4" s="2" t="n"/>
    </row>
    <row r="5">
      <c r="A5" s="2" t="n"/>
      <c r="B5" s="2" t="n"/>
      <c r="C5" s="2" t="n"/>
      <c r="D5" s="2" t="n"/>
      <c r="E5" s="2">
        <f>IF($A4="","", "TC-"&amp;$A4&amp;IF($B4&lt;&gt;"","-"&amp;$B4,"")&amp;IF($C4&lt;&gt;"","-"&amp;$C4,"")&amp;"-"&amp;$D4)</f>
        <v/>
      </c>
      <c r="F5" s="2" t="n"/>
    </row>
    <row r="6">
      <c r="A6" s="2" t="n"/>
      <c r="B6" s="2" t="n"/>
      <c r="C6" s="2" t="n"/>
      <c r="D6" s="2" t="n"/>
      <c r="E6" s="2">
        <f>IF($A5="","", "TC-"&amp;$A5&amp;IF($B5&lt;&gt;"","-"&amp;$B5,"")&amp;IF($C5&lt;&gt;"","-"&amp;$C5,"")&amp;"-"&amp;$D5)</f>
        <v/>
      </c>
      <c r="F6" s="2" t="n"/>
    </row>
    <row r="7">
      <c r="A7" s="2" t="n"/>
      <c r="B7" s="2" t="n"/>
      <c r="C7" s="2" t="n"/>
      <c r="D7" s="2" t="n"/>
      <c r="E7" s="2">
        <f>IF($A6="","", "TC-"&amp;$A6&amp;IF($B6&lt;&gt;"","-"&amp;$B6,"")&amp;IF($C6&lt;&gt;"","-"&amp;$C6,"")&amp;"-"&amp;$D6)</f>
        <v/>
      </c>
      <c r="F7" s="2" t="n"/>
    </row>
    <row r="8">
      <c r="A8" s="2" t="n"/>
      <c r="B8" s="2" t="n"/>
      <c r="C8" s="2" t="n"/>
      <c r="D8" s="2" t="n"/>
      <c r="E8" s="2">
        <f>IF($A7="","", "TC-"&amp;$A7&amp;IF($B7&lt;&gt;"","-"&amp;$B7,"")&amp;IF($C7&lt;&gt;"","-"&amp;$C7,"")&amp;"-"&amp;$D7)</f>
        <v/>
      </c>
      <c r="F8" s="2" t="n"/>
    </row>
    <row r="9">
      <c r="A9" s="2" t="n"/>
      <c r="B9" s="2" t="n"/>
      <c r="C9" s="2" t="n"/>
      <c r="D9" s="2" t="n"/>
      <c r="E9" s="2">
        <f>IF($A8="","", "TC-"&amp;$A8&amp;IF($B8&lt;&gt;"","-"&amp;$B8,"")&amp;IF($C8&lt;&gt;"","-"&amp;$C8,"")&amp;"-"&amp;$D8)</f>
        <v/>
      </c>
      <c r="F9" s="2" t="n"/>
    </row>
    <row r="10">
      <c r="A10" s="2" t="n"/>
      <c r="B10" s="2" t="n"/>
      <c r="C10" s="2" t="n"/>
      <c r="D10" s="2" t="n"/>
      <c r="E10" s="2">
        <f>IF($A9="","", "TC-"&amp;$A9&amp;IF($B9&lt;&gt;"","-"&amp;$B9,"")&amp;IF($C9&lt;&gt;"","-"&amp;$C9,"")&amp;"-"&amp;$D9)</f>
        <v/>
      </c>
      <c r="F10" s="2" t="n"/>
    </row>
    <row r="11">
      <c r="A11" s="2" t="n"/>
      <c r="B11" s="2" t="n"/>
      <c r="C11" s="2" t="n"/>
      <c r="D11" s="2" t="n"/>
      <c r="E11" s="2">
        <f>IF($A10="","", "TC-"&amp;$A10&amp;IF($B10&lt;&gt;"","-"&amp;$B10,"")&amp;IF($C10&lt;&gt;"","-"&amp;$C10,"")&amp;"-"&amp;$D10)</f>
        <v/>
      </c>
      <c r="F11" s="2" t="n"/>
    </row>
    <row r="12">
      <c r="A12" s="2" t="n"/>
      <c r="B12" s="2" t="n"/>
      <c r="C12" s="2" t="n"/>
      <c r="D12" s="2" t="n"/>
      <c r="E12" s="2">
        <f>IF($A11="","", "TC-"&amp;$A11&amp;IF($B11&lt;&gt;"","-"&amp;$B11,"")&amp;IF($C11&lt;&gt;"","-"&amp;$C11,"")&amp;"-"&amp;$D11)</f>
        <v/>
      </c>
      <c r="F12" s="2" t="n"/>
    </row>
    <row r="13">
      <c r="A13" s="2" t="n"/>
      <c r="B13" s="2" t="n"/>
      <c r="C13" s="2" t="n"/>
      <c r="D13" s="2" t="n"/>
      <c r="E13" s="2">
        <f>IF($A12="","", "TC-"&amp;$A12&amp;IF($B12&lt;&gt;"","-"&amp;$B12,"")&amp;IF($C12&lt;&gt;"","-"&amp;$C12,"")&amp;"-"&amp;$D12)</f>
        <v/>
      </c>
      <c r="F13" s="2" t="n"/>
    </row>
    <row r="14">
      <c r="A14" s="2" t="n"/>
      <c r="B14" s="2" t="n"/>
      <c r="C14" s="2" t="n"/>
      <c r="D14" s="2" t="n"/>
      <c r="E14" s="2">
        <f>IF($A13="","", "TC-"&amp;$A13&amp;IF($B13&lt;&gt;"","-"&amp;$B13,"")&amp;IF($C13&lt;&gt;"","-"&amp;$C13,"")&amp;"-"&amp;$D13)</f>
        <v/>
      </c>
      <c r="F14" s="2" t="n"/>
    </row>
    <row r="15">
      <c r="A15" s="2" t="n"/>
      <c r="B15" s="2" t="n"/>
      <c r="C15" s="2" t="n"/>
      <c r="D15" s="2" t="n"/>
      <c r="E15" s="2">
        <f>IF($A14="","", "TC-"&amp;$A14&amp;IF($B14&lt;&gt;"","-"&amp;$B14,"")&amp;IF($C14&lt;&gt;"","-"&amp;$C14,"")&amp;"-"&amp;$D14)</f>
        <v/>
      </c>
      <c r="F15" s="2" t="n"/>
    </row>
    <row r="16">
      <c r="A16" s="2" t="n"/>
      <c r="B16" s="2" t="n"/>
      <c r="C16" s="2" t="n"/>
      <c r="D16" s="2" t="n"/>
      <c r="E16" s="2">
        <f>IF($A15="","", "TC-"&amp;$A15&amp;IF($B15&lt;&gt;"","-"&amp;$B15,"")&amp;IF($C15&lt;&gt;"","-"&amp;$C15,"")&amp;"-"&amp;$D15)</f>
        <v/>
      </c>
      <c r="F16" s="2" t="n"/>
    </row>
    <row r="17">
      <c r="A17" s="2" t="n"/>
      <c r="B17" s="2" t="n"/>
      <c r="C17" s="2" t="n"/>
      <c r="D17" s="2" t="n"/>
      <c r="E17" s="2">
        <f>IF($A16="","", "TC-"&amp;$A16&amp;IF($B16&lt;&gt;"","-"&amp;$B16,"")&amp;IF($C16&lt;&gt;"","-"&amp;$C16,"")&amp;"-"&amp;$D16)</f>
        <v/>
      </c>
      <c r="F17" s="2" t="n"/>
    </row>
    <row r="18">
      <c r="A18" s="2" t="n"/>
      <c r="B18" s="2" t="n"/>
      <c r="C18" s="2" t="n"/>
      <c r="D18" s="2" t="n"/>
      <c r="E18" s="2">
        <f>IF($A17="","", "TC-"&amp;$A17&amp;IF($B17&lt;&gt;"","-"&amp;$B17,"")&amp;IF($C17&lt;&gt;"","-"&amp;$C17,"")&amp;"-"&amp;$D17)</f>
        <v/>
      </c>
      <c r="F18" s="2" t="n"/>
    </row>
    <row r="19">
      <c r="A19" s="2" t="n"/>
      <c r="B19" s="2" t="n"/>
      <c r="C19" s="2" t="n"/>
      <c r="D19" s="2" t="n"/>
      <c r="E19" s="2">
        <f>IF($A18="","", "TC-"&amp;$A18&amp;IF($B18&lt;&gt;"","-"&amp;$B18,"")&amp;IF($C18&lt;&gt;"","-"&amp;$C18,"")&amp;"-"&amp;$D18)</f>
        <v/>
      </c>
      <c r="F19" s="2" t="n"/>
    </row>
    <row r="20">
      <c r="A20" s="2" t="n"/>
      <c r="B20" s="2" t="n"/>
      <c r="C20" s="2" t="n"/>
      <c r="D20" s="2" t="n"/>
      <c r="E20" s="2">
        <f>IF($A19="","", "TC-"&amp;$A19&amp;IF($B19&lt;&gt;"","-"&amp;$B19,"")&amp;IF($C19&lt;&gt;"","-"&amp;$C19,"")&amp;"-"&amp;$D19)</f>
        <v/>
      </c>
      <c r="F20" s="2" t="n"/>
    </row>
    <row r="21">
      <c r="A21" s="2" t="n"/>
      <c r="B21" s="2" t="n"/>
      <c r="C21" s="2" t="n"/>
      <c r="D21" s="2" t="n"/>
      <c r="E21" s="2">
        <f>IF($A20="","", "TC-"&amp;$A20&amp;IF($B20&lt;&gt;"","-"&amp;$B20,"")&amp;IF($C20&lt;&gt;"","-"&amp;$C20,"")&amp;"-"&amp;$D20)</f>
        <v/>
      </c>
      <c r="F21" s="2" t="n"/>
    </row>
    <row r="22">
      <c r="A22" s="2" t="n"/>
      <c r="B22" s="2" t="n"/>
      <c r="C22" s="2" t="n"/>
      <c r="D22" s="2" t="n"/>
      <c r="E22" s="2">
        <f>IF($A21="","", "TC-"&amp;$A21&amp;IF($B21&lt;&gt;"","-"&amp;$B21,"")&amp;IF($C21&lt;&gt;"","-"&amp;$C21,"")&amp;"-"&amp;$D21)</f>
        <v/>
      </c>
      <c r="F22" s="2" t="n"/>
    </row>
    <row r="23">
      <c r="A23" s="2" t="n"/>
      <c r="B23" s="2" t="n"/>
      <c r="C23" s="2" t="n"/>
      <c r="D23" s="2" t="n"/>
      <c r="E23" s="2">
        <f>IF($A22="","", "TC-"&amp;$A22&amp;IF($B22&lt;&gt;"","-"&amp;$B22,"")&amp;IF($C22&lt;&gt;"","-"&amp;$C22,"")&amp;"-"&amp;$D22)</f>
        <v/>
      </c>
      <c r="F23" s="2" t="n"/>
    </row>
    <row r="24">
      <c r="A24" s="2" t="n"/>
      <c r="B24" s="2" t="n"/>
      <c r="C24" s="2" t="n"/>
      <c r="D24" s="2" t="n"/>
      <c r="E24" s="2">
        <f>IF($A23="","", "TC-"&amp;$A23&amp;IF($B23&lt;&gt;"","-"&amp;$B23,"")&amp;IF($C23&lt;&gt;"","-"&amp;$C23,"")&amp;"-"&amp;$D23)</f>
        <v/>
      </c>
      <c r="F24" s="2" t="n"/>
    </row>
    <row r="25">
      <c r="A25" s="2" t="n"/>
      <c r="B25" s="2" t="n"/>
      <c r="C25" s="2" t="n"/>
      <c r="D25" s="2" t="n"/>
      <c r="E25" s="2">
        <f>IF($A24="","", "TC-"&amp;$A24&amp;IF($B24&lt;&gt;"","-"&amp;$B24,"")&amp;IF($C24&lt;&gt;"","-"&amp;$C24,"")&amp;"-"&amp;$D24)</f>
        <v/>
      </c>
      <c r="F25" s="2" t="n"/>
    </row>
    <row r="26">
      <c r="A26" s="2" t="n"/>
      <c r="B26" s="2" t="n"/>
      <c r="C26" s="2" t="n"/>
      <c r="D26" s="2" t="n"/>
      <c r="E26" s="2">
        <f>IF($A25="","", "TC-"&amp;$A25&amp;IF($B25&lt;&gt;"","-"&amp;$B25,"")&amp;IF($C25&lt;&gt;"","-"&amp;$C25,"")&amp;"-"&amp;$D25)</f>
        <v/>
      </c>
      <c r="F26" s="2" t="n"/>
    </row>
    <row r="27">
      <c r="A27" s="2" t="n"/>
      <c r="B27" s="2" t="n"/>
      <c r="C27" s="2" t="n"/>
      <c r="D27" s="2" t="n"/>
      <c r="E27" s="2">
        <f>IF($A26="","", "TC-"&amp;$A26&amp;IF($B26&lt;&gt;"","-"&amp;$B26,"")&amp;IF($C26&lt;&gt;"","-"&amp;$C26,"")&amp;"-"&amp;$D26)</f>
        <v/>
      </c>
      <c r="F27" s="2" t="n"/>
    </row>
    <row r="28">
      <c r="A28" s="2" t="n"/>
      <c r="B28" s="2" t="n"/>
      <c r="C28" s="2" t="n"/>
      <c r="D28" s="2" t="n"/>
      <c r="E28" s="2">
        <f>IF($A27="","", "TC-"&amp;$A27&amp;IF($B27&lt;&gt;"","-"&amp;$B27,"")&amp;IF($C27&lt;&gt;"","-"&amp;$C27,"")&amp;"-"&amp;$D27)</f>
        <v/>
      </c>
      <c r="F28" s="2" t="n"/>
    </row>
    <row r="29">
      <c r="A29" s="2" t="n"/>
      <c r="B29" s="2" t="n"/>
      <c r="C29" s="2" t="n"/>
      <c r="D29" s="2" t="n"/>
      <c r="E29" s="2">
        <f>IF($A28="","", "TC-"&amp;$A28&amp;IF($B28&lt;&gt;"","-"&amp;$B28,"")&amp;IF($C28&lt;&gt;"","-"&amp;$C28,"")&amp;"-"&amp;$D28)</f>
        <v/>
      </c>
      <c r="F29" s="2" t="n"/>
    </row>
    <row r="30">
      <c r="A30" s="2" t="n"/>
      <c r="B30" s="2" t="n"/>
      <c r="C30" s="2" t="n"/>
      <c r="D30" s="2" t="n"/>
      <c r="E30" s="2">
        <f>IF($A29="","", "TC-"&amp;$A29&amp;IF($B29&lt;&gt;"","-"&amp;$B29,"")&amp;IF($C29&lt;&gt;"","-"&amp;$C29,"")&amp;"-"&amp;$D29)</f>
        <v/>
      </c>
      <c r="F30" s="2" t="n"/>
    </row>
    <row r="31">
      <c r="A31" s="2" t="n"/>
      <c r="B31" s="2" t="n"/>
      <c r="C31" s="2" t="n"/>
      <c r="D31" s="2" t="n"/>
      <c r="E31" s="2">
        <f>IF($A30="","", "TC-"&amp;$A30&amp;IF($B30&lt;&gt;"","-"&amp;$B30,"")&amp;IF($C30&lt;&gt;"","-"&amp;$C30,"")&amp;"-"&amp;$D30)</f>
        <v/>
      </c>
      <c r="F31" s="2" t="n"/>
    </row>
    <row r="32">
      <c r="A32" s="2" t="n"/>
      <c r="B32" s="2" t="n"/>
      <c r="C32" s="2" t="n"/>
      <c r="D32" s="2" t="n"/>
      <c r="E32" s="2">
        <f>IF($A31="","", "TC-"&amp;$A31&amp;IF($B31&lt;&gt;"","-"&amp;$B31,"")&amp;IF($C31&lt;&gt;"","-"&amp;$C31,"")&amp;"-"&amp;$D31)</f>
        <v/>
      </c>
      <c r="F32" s="2" t="n"/>
    </row>
    <row r="33">
      <c r="A33" s="2" t="n"/>
      <c r="B33" s="2" t="n"/>
      <c r="C33" s="2" t="n"/>
      <c r="D33" s="2" t="n"/>
      <c r="E33" s="2">
        <f>IF($A32="","", "TC-"&amp;$A32&amp;IF($B32&lt;&gt;"","-"&amp;$B32,"")&amp;IF($C32&lt;&gt;"","-"&amp;$C32,"")&amp;"-"&amp;$D32)</f>
        <v/>
      </c>
      <c r="F33" s="2" t="n"/>
    </row>
    <row r="34">
      <c r="A34" s="2" t="n"/>
      <c r="B34" s="2" t="n"/>
      <c r="C34" s="2" t="n"/>
      <c r="D34" s="2" t="n"/>
      <c r="E34" s="2">
        <f>IF($A33="","", "TC-"&amp;$A33&amp;IF($B33&lt;&gt;"","-"&amp;$B33,"")&amp;IF($C33&lt;&gt;"","-"&amp;$C33,"")&amp;"-"&amp;$D33)</f>
        <v/>
      </c>
      <c r="F34" s="2" t="n"/>
    </row>
    <row r="35">
      <c r="A35" s="2" t="n"/>
      <c r="B35" s="2" t="n"/>
      <c r="C35" s="2" t="n"/>
      <c r="D35" s="2" t="n"/>
      <c r="E35" s="2">
        <f>IF($A34="","", "TC-"&amp;$A34&amp;IF($B34&lt;&gt;"","-"&amp;$B34,"")&amp;IF($C34&lt;&gt;"","-"&amp;$C34,"")&amp;"-"&amp;$D34)</f>
        <v/>
      </c>
      <c r="F35" s="2" t="n"/>
    </row>
    <row r="36">
      <c r="A36" s="2" t="n"/>
      <c r="B36" s="2" t="n"/>
      <c r="C36" s="2" t="n"/>
      <c r="D36" s="2" t="n"/>
      <c r="E36" s="2">
        <f>IF($A35="","", "TC-"&amp;$A35&amp;IF($B35&lt;&gt;"","-"&amp;$B35,"")&amp;IF($C35&lt;&gt;"","-"&amp;$C35,"")&amp;"-"&amp;$D35)</f>
        <v/>
      </c>
      <c r="F36" s="2" t="n"/>
    </row>
    <row r="37">
      <c r="A37" s="2" t="n"/>
      <c r="B37" s="2" t="n"/>
      <c r="C37" s="2" t="n"/>
      <c r="D37" s="2" t="n"/>
      <c r="E37" s="2">
        <f>IF($A36="","", "TC-"&amp;$A36&amp;IF($B36&lt;&gt;"","-"&amp;$B36,"")&amp;IF($C36&lt;&gt;"","-"&amp;$C36,"")&amp;"-"&amp;$D36)</f>
        <v/>
      </c>
      <c r="F37" s="2" t="n"/>
    </row>
    <row r="38">
      <c r="A38" s="2" t="n"/>
      <c r="B38" s="2" t="n"/>
      <c r="C38" s="2" t="n"/>
      <c r="D38" s="2" t="n"/>
      <c r="E38" s="2">
        <f>IF($A37="","", "TC-"&amp;$A37&amp;IF($B37&lt;&gt;"","-"&amp;$B37,"")&amp;IF($C37&lt;&gt;"","-"&amp;$C37,"")&amp;"-"&amp;$D37)</f>
        <v/>
      </c>
      <c r="F38" s="2" t="n"/>
    </row>
    <row r="39">
      <c r="A39" s="2" t="n"/>
      <c r="B39" s="2" t="n"/>
      <c r="C39" s="2" t="n"/>
      <c r="D39" s="2" t="n"/>
      <c r="E39" s="2">
        <f>IF($A38="","", "TC-"&amp;$A38&amp;IF($B38&lt;&gt;"","-"&amp;$B38,"")&amp;IF($C38&lt;&gt;"","-"&amp;$C38,"")&amp;"-"&amp;$D38)</f>
        <v/>
      </c>
      <c r="F39" s="2" t="n"/>
    </row>
    <row r="40">
      <c r="A40" s="2" t="n"/>
      <c r="B40" s="2" t="n"/>
      <c r="C40" s="2" t="n"/>
      <c r="D40" s="2" t="n"/>
      <c r="E40" s="2">
        <f>IF($A39="","", "TC-"&amp;$A39&amp;IF($B39&lt;&gt;"","-"&amp;$B39,"")&amp;IF($C39&lt;&gt;"","-"&amp;$C39,"")&amp;"-"&amp;$D39)</f>
        <v/>
      </c>
      <c r="F40" s="2" t="n"/>
    </row>
    <row r="41">
      <c r="A41" s="2" t="n"/>
      <c r="B41" s="2" t="n"/>
      <c r="C41" s="2" t="n"/>
      <c r="D41" s="2" t="n"/>
      <c r="E41" s="2">
        <f>IF($A40="","", "TC-"&amp;$A40&amp;IF($B40&lt;&gt;"","-"&amp;$B40,"")&amp;IF($C40&lt;&gt;"","-"&amp;$C40,"")&amp;"-"&amp;$D40)</f>
        <v/>
      </c>
      <c r="F41" s="2" t="n"/>
    </row>
    <row r="42">
      <c r="A42" s="2" t="n"/>
      <c r="B42" s="2" t="n"/>
      <c r="C42" s="2" t="n"/>
      <c r="D42" s="2" t="n"/>
      <c r="E42" s="2">
        <f>IF($A41="","", "TC-"&amp;$A41&amp;IF($B41&lt;&gt;"","-"&amp;$B41,"")&amp;IF($C41&lt;&gt;"","-"&amp;$C41,"")&amp;"-"&amp;$D41)</f>
        <v/>
      </c>
      <c r="F42" s="2" t="n"/>
    </row>
    <row r="43">
      <c r="A43" s="2" t="n"/>
      <c r="B43" s="2" t="n"/>
      <c r="C43" s="2" t="n"/>
      <c r="D43" s="2" t="n"/>
      <c r="E43" s="2">
        <f>IF($A42="","", "TC-"&amp;$A42&amp;IF($B42&lt;&gt;"","-"&amp;$B42,"")&amp;IF($C42&lt;&gt;"","-"&amp;$C42,"")&amp;"-"&amp;$D42)</f>
        <v/>
      </c>
      <c r="F43" s="2" t="n"/>
    </row>
    <row r="44">
      <c r="A44" s="2" t="n"/>
      <c r="B44" s="2" t="n"/>
      <c r="C44" s="2" t="n"/>
      <c r="D44" s="2" t="n"/>
      <c r="E44" s="2">
        <f>IF($A43="","", "TC-"&amp;$A43&amp;IF($B43&lt;&gt;"","-"&amp;$B43,"")&amp;IF($C43&lt;&gt;"","-"&amp;$C43,"")&amp;"-"&amp;$D43)</f>
        <v/>
      </c>
      <c r="F44" s="2" t="n"/>
    </row>
    <row r="45">
      <c r="A45" s="2" t="n"/>
      <c r="B45" s="2" t="n"/>
      <c r="C45" s="2" t="n"/>
      <c r="D45" s="2" t="n"/>
      <c r="E45" s="2">
        <f>IF($A44="","", "TC-"&amp;$A44&amp;IF($B44&lt;&gt;"","-"&amp;$B44,"")&amp;IF($C44&lt;&gt;"","-"&amp;$C44,"")&amp;"-"&amp;$D44)</f>
        <v/>
      </c>
      <c r="F45" s="2" t="n"/>
    </row>
    <row r="46">
      <c r="A46" s="2" t="n"/>
      <c r="B46" s="2" t="n"/>
      <c r="C46" s="2" t="n"/>
      <c r="D46" s="2" t="n"/>
      <c r="E46" s="2">
        <f>IF($A45="","", "TC-"&amp;$A45&amp;IF($B45&lt;&gt;"","-"&amp;$B45,"")&amp;IF($C45&lt;&gt;"","-"&amp;$C45,"")&amp;"-"&amp;$D45)</f>
        <v/>
      </c>
      <c r="F46" s="2" t="n"/>
    </row>
    <row r="47">
      <c r="A47" s="2" t="n"/>
      <c r="B47" s="2" t="n"/>
      <c r="C47" s="2" t="n"/>
      <c r="D47" s="2" t="n"/>
      <c r="E47" s="2">
        <f>IF($A46="","", "TC-"&amp;$A46&amp;IF($B46&lt;&gt;"","-"&amp;$B46,"")&amp;IF($C46&lt;&gt;"","-"&amp;$C46,"")&amp;"-"&amp;$D46)</f>
        <v/>
      </c>
      <c r="F47" s="2" t="n"/>
    </row>
    <row r="48">
      <c r="A48" s="2" t="n"/>
      <c r="B48" s="2" t="n"/>
      <c r="C48" s="2" t="n"/>
      <c r="D48" s="2" t="n"/>
      <c r="E48" s="2">
        <f>IF($A47="","", "TC-"&amp;$A47&amp;IF($B47&lt;&gt;"","-"&amp;$B47,"")&amp;IF($C47&lt;&gt;"","-"&amp;$C47,"")&amp;"-"&amp;$D47)</f>
        <v/>
      </c>
      <c r="F48" s="2" t="n"/>
    </row>
    <row r="49">
      <c r="A49" s="2" t="n"/>
      <c r="B49" s="2" t="n"/>
      <c r="C49" s="2" t="n"/>
      <c r="D49" s="2" t="n"/>
      <c r="E49" s="2">
        <f>IF($A48="","", "TC-"&amp;$A48&amp;IF($B48&lt;&gt;"","-"&amp;$B48,"")&amp;IF($C48&lt;&gt;"","-"&amp;$C48,"")&amp;"-"&amp;$D48)</f>
        <v/>
      </c>
      <c r="F49" s="2" t="n"/>
    </row>
    <row r="50">
      <c r="A50" s="2" t="n"/>
      <c r="B50" s="2" t="n"/>
      <c r="C50" s="2" t="n"/>
      <c r="D50" s="2" t="n"/>
      <c r="E50" s="2">
        <f>IF($A49="","", "TC-"&amp;$A49&amp;IF($B49&lt;&gt;"","-"&amp;$B49,"")&amp;IF($C49&lt;&gt;"","-"&amp;$C49,"")&amp;"-"&amp;$D49)</f>
        <v/>
      </c>
      <c r="F50" s="2" t="n"/>
    </row>
    <row r="51">
      <c r="A51" s="2" t="n"/>
      <c r="B51" s="2" t="n"/>
      <c r="C51" s="2" t="n"/>
      <c r="D51" s="2" t="n"/>
      <c r="E51" s="2">
        <f>IF($A50="","", "TC-"&amp;$A50&amp;IF($B50&lt;&gt;"","-"&amp;$B50,"")&amp;IF($C50&lt;&gt;"","-"&amp;$C50,"")&amp;"-"&amp;$D50)</f>
        <v/>
      </c>
      <c r="F51" s="2" t="n"/>
    </row>
    <row r="52">
      <c r="A52" s="2" t="n"/>
      <c r="B52" s="2" t="n"/>
      <c r="C52" s="2" t="n"/>
      <c r="D52" s="2" t="n"/>
      <c r="E52" s="2">
        <f>IF($A51="","", "TC-"&amp;$A51&amp;IF($B51&lt;&gt;"","-"&amp;$B51,"")&amp;IF($C51&lt;&gt;"","-"&amp;$C51,"")&amp;"-"&amp;$D51)</f>
        <v/>
      </c>
      <c r="F52" s="2" t="n"/>
    </row>
    <row r="53">
      <c r="A53" s="2" t="n"/>
      <c r="B53" s="2" t="n"/>
      <c r="C53" s="2" t="n"/>
      <c r="D53" s="2" t="n"/>
      <c r="E53" s="2">
        <f>IF($A52="","", "TC-"&amp;$A52&amp;IF($B52&lt;&gt;"","-"&amp;$B52,"")&amp;IF($C52&lt;&gt;"","-"&amp;$C52,"")&amp;"-"&amp;$D52)</f>
        <v/>
      </c>
      <c r="F53" s="2" t="n"/>
    </row>
    <row r="54">
      <c r="A54" s="2" t="n"/>
      <c r="B54" s="2" t="n"/>
      <c r="C54" s="2" t="n"/>
      <c r="D54" s="2" t="n"/>
      <c r="E54" s="2">
        <f>IF($A53="","", "TC-"&amp;$A53&amp;IF($B53&lt;&gt;"","-"&amp;$B53,"")&amp;IF($C53&lt;&gt;"","-"&amp;$C53,"")&amp;"-"&amp;$D53)</f>
        <v/>
      </c>
      <c r="F54" s="2" t="n"/>
    </row>
    <row r="55">
      <c r="A55" s="2" t="n"/>
      <c r="B55" s="2" t="n"/>
      <c r="C55" s="2" t="n"/>
      <c r="D55" s="2" t="n"/>
      <c r="E55" s="2">
        <f>IF($A54="","", "TC-"&amp;$A54&amp;IF($B54&lt;&gt;"","-"&amp;$B54,"")&amp;IF($C54&lt;&gt;"","-"&amp;$C54,"")&amp;"-"&amp;$D54)</f>
        <v/>
      </c>
      <c r="F55" s="2" t="n"/>
    </row>
    <row r="56">
      <c r="A56" s="2" t="n"/>
      <c r="B56" s="2" t="n"/>
      <c r="C56" s="2" t="n"/>
      <c r="D56" s="2" t="n"/>
      <c r="E56" s="2">
        <f>IF($A55="","", "TC-"&amp;$A55&amp;IF($B55&lt;&gt;"","-"&amp;$B55,"")&amp;IF($C55&lt;&gt;"","-"&amp;$C55,"")&amp;"-"&amp;$D55)</f>
        <v/>
      </c>
      <c r="F56" s="2" t="n"/>
    </row>
    <row r="57">
      <c r="A57" s="2" t="n"/>
      <c r="B57" s="2" t="n"/>
      <c r="C57" s="2" t="n"/>
      <c r="D57" s="2" t="n"/>
      <c r="E57" s="2">
        <f>IF($A56="","", "TC-"&amp;$A56&amp;IF($B56&lt;&gt;"","-"&amp;$B56,"")&amp;IF($C56&lt;&gt;"","-"&amp;$C56,"")&amp;"-"&amp;$D56)</f>
        <v/>
      </c>
      <c r="F57" s="2" t="n"/>
    </row>
    <row r="58">
      <c r="A58" s="2" t="n"/>
      <c r="B58" s="2" t="n"/>
      <c r="C58" s="2" t="n"/>
      <c r="D58" s="2" t="n"/>
      <c r="E58" s="2">
        <f>IF($A57="","", "TC-"&amp;$A57&amp;IF($B57&lt;&gt;"","-"&amp;$B57,"")&amp;IF($C57&lt;&gt;"","-"&amp;$C57,"")&amp;"-"&amp;$D57)</f>
        <v/>
      </c>
      <c r="F58" s="2" t="n"/>
    </row>
    <row r="59">
      <c r="A59" s="2" t="n"/>
      <c r="B59" s="2" t="n"/>
      <c r="C59" s="2" t="n"/>
      <c r="D59" s="2" t="n"/>
      <c r="E59" s="2">
        <f>IF($A58="","", "TC-"&amp;$A58&amp;IF($B58&lt;&gt;"","-"&amp;$B58,"")&amp;IF($C58&lt;&gt;"","-"&amp;$C58,"")&amp;"-"&amp;$D58)</f>
        <v/>
      </c>
      <c r="F59" s="2" t="n"/>
    </row>
    <row r="60">
      <c r="A60" s="2" t="n"/>
      <c r="B60" s="2" t="n"/>
      <c r="C60" s="2" t="n"/>
      <c r="D60" s="2" t="n"/>
      <c r="E60" s="2">
        <f>IF($A59="","", "TC-"&amp;$A59&amp;IF($B59&lt;&gt;"","-"&amp;$B59,"")&amp;IF($C59&lt;&gt;"","-"&amp;$C59,"")&amp;"-"&amp;$D59)</f>
        <v/>
      </c>
      <c r="F60" s="2" t="n"/>
    </row>
    <row r="61">
      <c r="A61" s="2" t="n"/>
      <c r="B61" s="2" t="n"/>
      <c r="C61" s="2" t="n"/>
      <c r="D61" s="2" t="n"/>
      <c r="E61" s="2">
        <f>IF($A60="","", "TC-"&amp;$A60&amp;IF($B60&lt;&gt;"","-"&amp;$B60,"")&amp;IF($C60&lt;&gt;"","-"&amp;$C60,"")&amp;"-"&amp;$D60)</f>
        <v/>
      </c>
      <c r="F61" s="2" t="n"/>
    </row>
  </sheetData>
  <dataValidations count="4">
    <dataValidation sqref="A2:A60" showDropDown="0" showInputMessage="0" showErrorMessage="0" allowBlank="0" type="list">
      <formula1>=FAMILIES</formula1>
    </dataValidation>
    <dataValidation sqref="B2:B60" showDropDown="0" showInputMessage="0" showErrorMessage="0" allowBlank="1" type="list">
      <formula1>=SIZES</formula1>
    </dataValidation>
    <dataValidation sqref="C2:C60" showDropDown="0" showInputMessage="0" showErrorMessage="0" allowBlank="1" type="list">
      <formula1>=VARIANTS</formula1>
    </dataValidation>
    <dataValidation sqref="D2:D60" showDropDown="0" showInputMessage="0" showErrorMessage="0" allowBlank="0" type="list">
      <formula1>=REVS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8" customWidth="1" min="4" max="4"/>
    <col width="18" customWidth="1" min="5" max="5"/>
    <col width="6" customWidth="1" min="6" max="6"/>
    <col width="8" customWidth="1" min="7" max="7"/>
    <col width="10" customWidth="1" min="8" max="8"/>
    <col width="12" customWidth="1" min="9" max="9"/>
    <col width="8" customWidth="1" min="10" max="10"/>
    <col width="28" customWidth="1" min="11" max="11"/>
    <col width="34" customWidth="1" min="12" max="12"/>
  </cols>
  <sheetData>
    <row r="1">
      <c r="A1" s="3" t="inlineStr">
        <is>
          <t>INSTRUCTIONS: List all electronic components per Product_ID. One part per row. Quantities are per unit. Use Notes for wiring, voltage, or firmware constraints.</t>
        </is>
      </c>
    </row>
    <row r="2">
      <c r="A2" s="1" t="inlineStr">
        <is>
          <t>Product_ID</t>
        </is>
      </c>
      <c r="B2" s="1" t="inlineStr">
        <is>
          <t>Subsystem</t>
        </is>
      </c>
      <c r="C2" s="1" t="inlineStr">
        <is>
          <t>Part_Name</t>
        </is>
      </c>
      <c r="D2" s="1" t="inlineStr">
        <is>
          <t>Manufacturer</t>
        </is>
      </c>
      <c r="E2" s="1" t="inlineStr">
        <is>
          <t>MPN/SKU</t>
        </is>
      </c>
      <c r="F2" s="1" t="inlineStr">
        <is>
          <t>Qty</t>
        </is>
      </c>
      <c r="G2" s="1" t="inlineStr">
        <is>
          <t>Unit</t>
        </is>
      </c>
      <c r="H2" s="1" t="inlineStr">
        <is>
          <t>Voltage</t>
        </is>
      </c>
      <c r="I2" s="1" t="inlineStr">
        <is>
          <t>Interface</t>
        </is>
      </c>
      <c r="J2" s="1" t="inlineStr">
        <is>
          <t>Critical</t>
        </is>
      </c>
      <c r="K2" s="1" t="inlineStr">
        <is>
          <t>Source_URL</t>
        </is>
      </c>
      <c r="L2" s="1" t="inlineStr">
        <is>
          <t>Notes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t="inlineStr">
        <is>
          <t>TC-PRD-0102</t>
        </is>
      </c>
      <c r="B252" t="inlineStr">
        <is>
          <t>Control</t>
        </is>
      </c>
      <c r="C252" t="inlineStr">
        <is>
          <t>ESP32-S3 Dev Board</t>
        </is>
      </c>
      <c r="D252" t="inlineStr">
        <is>
          <t>Espressif/3rd party</t>
        </is>
      </c>
      <c r="E252" t="inlineStr">
        <is>
          <t>ESP32-S3</t>
        </is>
      </c>
      <c r="F252" t="inlineStr">
        <is>
          <t>1</t>
        </is>
      </c>
      <c r="G252" t="inlineStr">
        <is>
          <t>ea</t>
        </is>
      </c>
      <c r="H252" t="inlineStr">
        <is>
          <t>5V</t>
        </is>
      </c>
      <c r="I252" t="inlineStr">
        <is>
          <t>WiFi/BLE</t>
        </is>
      </c>
      <c r="J252" t="inlineStr">
        <is>
          <t>Yes</t>
        </is>
      </c>
      <c r="L252" t="inlineStr">
        <is>
          <t>Main controller for gantry.</t>
        </is>
      </c>
    </row>
    <row r="253">
      <c r="A253" t="inlineStr">
        <is>
          <t>TC-PRD-0102</t>
        </is>
      </c>
      <c r="B253" t="inlineStr">
        <is>
          <t>Control</t>
        </is>
      </c>
      <c r="C253" t="inlineStr">
        <is>
          <t>TB6600 Stepper Driver</t>
        </is>
      </c>
      <c r="D253" t="inlineStr">
        <is>
          <t>Generic</t>
        </is>
      </c>
      <c r="E253" t="inlineStr">
        <is>
          <t>TB6600</t>
        </is>
      </c>
      <c r="F253" t="inlineStr">
        <is>
          <t>4</t>
        </is>
      </c>
      <c r="G253" t="inlineStr">
        <is>
          <t>ea</t>
        </is>
      </c>
      <c r="H253" t="inlineStr">
        <is>
          <t>9–42V</t>
        </is>
      </c>
      <c r="I253" t="inlineStr">
        <is>
          <t>STEP/DIR</t>
        </is>
      </c>
      <c r="J253" t="inlineStr">
        <is>
          <t>Yes</t>
        </is>
      </c>
      <c r="L253" t="inlineStr">
        <is>
          <t>One per motor (X,Y,Z1,Z2).</t>
        </is>
      </c>
    </row>
    <row r="254">
      <c r="A254" t="inlineStr">
        <is>
          <t>TC-PRD-0102</t>
        </is>
      </c>
      <c r="B254" t="inlineStr">
        <is>
          <t>Sensors</t>
        </is>
      </c>
      <c r="C254" t="inlineStr">
        <is>
          <t>Limit Switch (endstop)</t>
        </is>
      </c>
      <c r="D254" t="inlineStr">
        <is>
          <t>Generic</t>
        </is>
      </c>
      <c r="E254" t="inlineStr">
        <is>
          <t>KW12-3</t>
        </is>
      </c>
      <c r="F254" t="inlineStr">
        <is>
          <t>6</t>
        </is>
      </c>
      <c r="G254" t="inlineStr">
        <is>
          <t>ea</t>
        </is>
      </c>
      <c r="H254" t="inlineStr">
        <is>
          <t>5V</t>
        </is>
      </c>
      <c r="I254" t="inlineStr">
        <is>
          <t>GPIO</t>
        </is>
      </c>
      <c r="J254" t="inlineStr">
        <is>
          <t>Yes</t>
        </is>
      </c>
      <c r="L254" t="inlineStr">
        <is>
          <t>X/Y/Z min/max homing.</t>
        </is>
      </c>
    </row>
    <row r="255">
      <c r="A255" t="inlineStr">
        <is>
          <t>TC-PRD-0102</t>
        </is>
      </c>
      <c r="B255" t="inlineStr">
        <is>
          <t>Power</t>
        </is>
      </c>
      <c r="C255" t="inlineStr">
        <is>
          <t>Power Supply 36V</t>
        </is>
      </c>
      <c r="D255" t="inlineStr">
        <is>
          <t>Generic</t>
        </is>
      </c>
      <c r="E255" t="inlineStr">
        <is>
          <t>36V PSU</t>
        </is>
      </c>
      <c r="F255" t="inlineStr">
        <is>
          <t>1</t>
        </is>
      </c>
      <c r="G255" t="inlineStr">
        <is>
          <t>ea</t>
        </is>
      </c>
      <c r="H255" t="inlineStr">
        <is>
          <t>36V</t>
        </is>
      </c>
      <c r="I255" t="inlineStr">
        <is>
          <t>N/A</t>
        </is>
      </c>
      <c r="J255" t="inlineStr">
        <is>
          <t>Yes</t>
        </is>
      </c>
      <c r="L255" t="inlineStr">
        <is>
          <t>Steppers power.</t>
        </is>
      </c>
    </row>
    <row r="256">
      <c r="A256" t="inlineStr">
        <is>
          <t>TC-PRD-0102</t>
        </is>
      </c>
      <c r="B256" t="inlineStr">
        <is>
          <t>Power</t>
        </is>
      </c>
      <c r="C256" t="inlineStr">
        <is>
          <t>Power Supply 12V</t>
        </is>
      </c>
      <c r="D256" t="inlineStr">
        <is>
          <t>Generic</t>
        </is>
      </c>
      <c r="E256" t="inlineStr">
        <is>
          <t>12V PSU</t>
        </is>
      </c>
      <c r="F256" t="inlineStr">
        <is>
          <t>1</t>
        </is>
      </c>
      <c r="G256" t="inlineStr">
        <is>
          <t>ea</t>
        </is>
      </c>
      <c r="H256" t="inlineStr">
        <is>
          <t>12V</t>
        </is>
      </c>
      <c r="I256" t="inlineStr">
        <is>
          <t>N/A</t>
        </is>
      </c>
      <c r="J256" t="inlineStr">
        <is>
          <t>Yes</t>
        </is>
      </c>
      <c r="L256" t="inlineStr">
        <is>
          <t>Aux power.</t>
        </is>
      </c>
    </row>
    <row r="257">
      <c r="A257" t="inlineStr">
        <is>
          <t>TC-PRD-0102</t>
        </is>
      </c>
      <c r="B257" t="inlineStr">
        <is>
          <t>Power</t>
        </is>
      </c>
      <c r="C257" t="inlineStr">
        <is>
          <t>DC-DC Buck 12V→5V</t>
        </is>
      </c>
      <c r="D257" t="inlineStr">
        <is>
          <t>Generic</t>
        </is>
      </c>
      <c r="E257" t="inlineStr">
        <is>
          <t>Buck 5V</t>
        </is>
      </c>
      <c r="F257" t="inlineStr">
        <is>
          <t>2</t>
        </is>
      </c>
      <c r="G257" t="inlineStr">
        <is>
          <t>ea</t>
        </is>
      </c>
      <c r="H257" t="inlineStr">
        <is>
          <t>12V→5V</t>
        </is>
      </c>
      <c r="I257" t="inlineStr">
        <is>
          <t>N/A</t>
        </is>
      </c>
      <c r="J257" t="inlineStr">
        <is>
          <t>Yes</t>
        </is>
      </c>
      <c r="L257" t="inlineStr">
        <is>
          <t>Controller + sensors rail.</t>
        </is>
      </c>
    </row>
    <row r="258">
      <c r="A258" t="inlineStr">
        <is>
          <t>TC-PRD-0400</t>
        </is>
      </c>
      <c r="B258" t="inlineStr">
        <is>
          <t>Control</t>
        </is>
      </c>
      <c r="C258" t="inlineStr">
        <is>
          <t>ESP32-S3 Dev Board</t>
        </is>
      </c>
      <c r="D258" t="inlineStr">
        <is>
          <t>Espressif/3rd party</t>
        </is>
      </c>
      <c r="E258" t="inlineStr">
        <is>
          <t>ESP32-S3</t>
        </is>
      </c>
      <c r="F258" t="inlineStr">
        <is>
          <t>1</t>
        </is>
      </c>
      <c r="G258" t="inlineStr">
        <is>
          <t>ea</t>
        </is>
      </c>
      <c r="H258" t="inlineStr">
        <is>
          <t>5V</t>
        </is>
      </c>
      <c r="I258" t="inlineStr">
        <is>
          <t>WiFi/BLE</t>
        </is>
      </c>
      <c r="J258" t="inlineStr">
        <is>
          <t>Yes</t>
        </is>
      </c>
      <c r="L258" t="inlineStr">
        <is>
          <t>Primary controller.</t>
        </is>
      </c>
    </row>
    <row r="259">
      <c r="A259" t="inlineStr">
        <is>
          <t>TC-PRD-0400</t>
        </is>
      </c>
      <c r="B259" t="inlineStr">
        <is>
          <t>Sensors</t>
        </is>
      </c>
      <c r="C259" t="inlineStr">
        <is>
          <t>Camera Module (Night capable)</t>
        </is>
      </c>
      <c r="D259" t="inlineStr">
        <is>
          <t>Generic</t>
        </is>
      </c>
      <c r="E259" t="inlineStr">
        <is>
          <t>ESP32-CAM/NoIR</t>
        </is>
      </c>
      <c r="F259" t="inlineStr">
        <is>
          <t>3</t>
        </is>
      </c>
      <c r="G259" t="inlineStr">
        <is>
          <t>ea</t>
        </is>
      </c>
      <c r="H259" t="inlineStr">
        <is>
          <t>5V</t>
        </is>
      </c>
      <c r="I259" t="inlineStr">
        <is>
          <t>CSI/UART</t>
        </is>
      </c>
      <c r="J259" t="inlineStr">
        <is>
          <t>Yes</t>
        </is>
      </c>
      <c r="L259" t="inlineStr">
        <is>
          <t>3-direction coverage.</t>
        </is>
      </c>
    </row>
    <row r="260">
      <c r="A260" t="inlineStr">
        <is>
          <t>TC-PRD-0400</t>
        </is>
      </c>
      <c r="B260" t="inlineStr">
        <is>
          <t>Sensors</t>
        </is>
      </c>
      <c r="C260" t="inlineStr">
        <is>
          <t>PIR Motion Sensor</t>
        </is>
      </c>
      <c r="D260" t="inlineStr">
        <is>
          <t>Generic</t>
        </is>
      </c>
      <c r="E260" t="inlineStr">
        <is>
          <t>HC-SR501</t>
        </is>
      </c>
      <c r="F260" t="inlineStr">
        <is>
          <t>1</t>
        </is>
      </c>
      <c r="G260" t="inlineStr">
        <is>
          <t>ea</t>
        </is>
      </c>
      <c r="H260" t="inlineStr">
        <is>
          <t>5V</t>
        </is>
      </c>
      <c r="I260" t="inlineStr">
        <is>
          <t>GPIO</t>
        </is>
      </c>
      <c r="J260" t="inlineStr">
        <is>
          <t>Yes</t>
        </is>
      </c>
      <c r="L260" t="inlineStr">
        <is>
          <t>Heat-based motion trigger.</t>
        </is>
      </c>
    </row>
    <row r="261">
      <c r="A261" t="inlineStr">
        <is>
          <t>TC-PRD-0400</t>
        </is>
      </c>
      <c r="B261" t="inlineStr">
        <is>
          <t>Sensors</t>
        </is>
      </c>
      <c r="C261" t="inlineStr">
        <is>
          <t>Microwave Radar Sensor</t>
        </is>
      </c>
      <c r="D261" t="inlineStr">
        <is>
          <t>Generic</t>
        </is>
      </c>
      <c r="E261" t="inlineStr">
        <is>
          <t>RCWL-0516</t>
        </is>
      </c>
      <c r="F261" t="inlineStr">
        <is>
          <t>1</t>
        </is>
      </c>
      <c r="G261" t="inlineStr">
        <is>
          <t>ea</t>
        </is>
      </c>
      <c r="H261" t="inlineStr">
        <is>
          <t>5V</t>
        </is>
      </c>
      <c r="I261" t="inlineStr">
        <is>
          <t>GPIO</t>
        </is>
      </c>
      <c r="J261" t="inlineStr">
        <is>
          <t>No</t>
        </is>
      </c>
      <c r="L261" t="inlineStr">
        <is>
          <t>Longer-range motion detection.</t>
        </is>
      </c>
    </row>
    <row r="262">
      <c r="A262" t="inlineStr">
        <is>
          <t>TC-PRD-0400</t>
        </is>
      </c>
      <c r="B262" t="inlineStr">
        <is>
          <t>Actuation</t>
        </is>
      </c>
      <c r="C262" t="inlineStr">
        <is>
          <t>IR LED Array 850nm</t>
        </is>
      </c>
      <c r="D262" t="inlineStr">
        <is>
          <t>Generic</t>
        </is>
      </c>
      <c r="E262" t="inlineStr">
        <is>
          <t>850nm IR</t>
        </is>
      </c>
      <c r="F262" t="inlineStr">
        <is>
          <t>3</t>
        </is>
      </c>
      <c r="G262" t="inlineStr">
        <is>
          <t>ea</t>
        </is>
      </c>
      <c r="H262" t="inlineStr">
        <is>
          <t>12V</t>
        </is>
      </c>
      <c r="I262" t="inlineStr">
        <is>
          <t>MOSFET</t>
        </is>
      </c>
      <c r="J262" t="inlineStr">
        <is>
          <t>Yes</t>
        </is>
      </c>
      <c r="L262" t="inlineStr">
        <is>
          <t>Night illumination.</t>
        </is>
      </c>
    </row>
    <row r="263">
      <c r="A263" t="inlineStr">
        <is>
          <t>TC-PRD-0400</t>
        </is>
      </c>
      <c r="B263" t="inlineStr">
        <is>
          <t>Actuation</t>
        </is>
      </c>
      <c r="C263" t="inlineStr">
        <is>
          <t>RGB LED Ring</t>
        </is>
      </c>
      <c r="D263" t="inlineStr">
        <is>
          <t>Generic</t>
        </is>
      </c>
      <c r="E263" t="inlineStr">
        <is>
          <t>WS2812B</t>
        </is>
      </c>
      <c r="F263" t="inlineStr">
        <is>
          <t>1</t>
        </is>
      </c>
      <c r="G263" t="inlineStr">
        <is>
          <t>ea</t>
        </is>
      </c>
      <c r="H263" t="inlineStr">
        <is>
          <t>5V</t>
        </is>
      </c>
      <c r="I263" t="inlineStr">
        <is>
          <t>GPIO</t>
        </is>
      </c>
      <c r="J263" t="inlineStr">
        <is>
          <t>No</t>
        </is>
      </c>
      <c r="L263" t="inlineStr">
        <is>
          <t>Deterrent patterns.</t>
        </is>
      </c>
    </row>
    <row r="264">
      <c r="A264" t="inlineStr">
        <is>
          <t>TC-PRD-0400</t>
        </is>
      </c>
      <c r="B264" t="inlineStr">
        <is>
          <t>Actuation</t>
        </is>
      </c>
      <c r="C264" t="inlineStr">
        <is>
          <t>Piezo Siren</t>
        </is>
      </c>
      <c r="D264" t="inlineStr">
        <is>
          <t>Generic</t>
        </is>
      </c>
      <c r="E264" t="inlineStr">
        <is>
          <t>Siren</t>
        </is>
      </c>
      <c r="F264" t="inlineStr">
        <is>
          <t>1</t>
        </is>
      </c>
      <c r="G264" t="inlineStr">
        <is>
          <t>ea</t>
        </is>
      </c>
      <c r="H264" t="inlineStr">
        <is>
          <t>12V</t>
        </is>
      </c>
      <c r="I264" t="inlineStr">
        <is>
          <t>MOSFET</t>
        </is>
      </c>
      <c r="J264" t="inlineStr">
        <is>
          <t>No</t>
        </is>
      </c>
      <c r="L264" t="inlineStr">
        <is>
          <t>Deterrent audio.</t>
        </is>
      </c>
    </row>
    <row r="265">
      <c r="A265" t="inlineStr">
        <is>
          <t>TC-PRD-0400</t>
        </is>
      </c>
      <c r="B265" t="inlineStr">
        <is>
          <t>Power</t>
        </is>
      </c>
      <c r="C265" t="inlineStr">
        <is>
          <t>Solar Panel</t>
        </is>
      </c>
      <c r="D265" t="inlineStr">
        <is>
          <t>Generic</t>
        </is>
      </c>
      <c r="E265" t="inlineStr">
        <is>
          <t>10–20W</t>
        </is>
      </c>
      <c r="F265" t="inlineStr">
        <is>
          <t>1</t>
        </is>
      </c>
      <c r="G265" t="inlineStr">
        <is>
          <t>ea</t>
        </is>
      </c>
      <c r="H265" t="inlineStr">
        <is>
          <t>12V</t>
        </is>
      </c>
      <c r="I265" t="inlineStr">
        <is>
          <t>N/A</t>
        </is>
      </c>
      <c r="J265" t="inlineStr">
        <is>
          <t>Yes</t>
        </is>
      </c>
      <c r="L265" t="inlineStr">
        <is>
          <t>Off-grid power.</t>
        </is>
      </c>
    </row>
    <row r="266">
      <c r="A266" t="inlineStr">
        <is>
          <t>TC-PRD-0400</t>
        </is>
      </c>
      <c r="B266" t="inlineStr">
        <is>
          <t>Power</t>
        </is>
      </c>
      <c r="C266" t="inlineStr">
        <is>
          <t>MPPT Charge Controller (LiFePO4)</t>
        </is>
      </c>
      <c r="D266" t="inlineStr">
        <is>
          <t>Generic</t>
        </is>
      </c>
      <c r="E266" t="inlineStr">
        <is>
          <t>MPPT</t>
        </is>
      </c>
      <c r="F266" t="inlineStr">
        <is>
          <t>1</t>
        </is>
      </c>
      <c r="G266" t="inlineStr">
        <is>
          <t>ea</t>
        </is>
      </c>
      <c r="H266" t="inlineStr">
        <is>
          <t>12V</t>
        </is>
      </c>
      <c r="I266" t="inlineStr">
        <is>
          <t>N/A</t>
        </is>
      </c>
      <c r="J266" t="inlineStr">
        <is>
          <t>Yes</t>
        </is>
      </c>
      <c r="L266" t="inlineStr">
        <is>
          <t>Charge management.</t>
        </is>
      </c>
    </row>
    <row r="267">
      <c r="A267" t="inlineStr">
        <is>
          <t>TC-PRD-0400</t>
        </is>
      </c>
      <c r="B267" t="inlineStr">
        <is>
          <t>Power</t>
        </is>
      </c>
      <c r="C267" t="inlineStr">
        <is>
          <t>LiFePO4 Battery 12V</t>
        </is>
      </c>
      <c r="D267" t="inlineStr">
        <is>
          <t>Generic</t>
        </is>
      </c>
      <c r="E267" t="inlineStr">
        <is>
          <t>6–12Ah</t>
        </is>
      </c>
      <c r="F267" t="inlineStr">
        <is>
          <t>1</t>
        </is>
      </c>
      <c r="G267" t="inlineStr">
        <is>
          <t>ea</t>
        </is>
      </c>
      <c r="H267" t="inlineStr">
        <is>
          <t>12V</t>
        </is>
      </c>
      <c r="I267" t="inlineStr">
        <is>
          <t>N/A</t>
        </is>
      </c>
      <c r="J267" t="inlineStr">
        <is>
          <t>Yes</t>
        </is>
      </c>
      <c r="L267" t="inlineStr">
        <is>
          <t>Energy storage.</t>
        </is>
      </c>
    </row>
    <row r="268">
      <c r="A268" t="inlineStr">
        <is>
          <t>TC-PRD-0400</t>
        </is>
      </c>
      <c r="B268" t="inlineStr">
        <is>
          <t>Power</t>
        </is>
      </c>
      <c r="C268" t="inlineStr">
        <is>
          <t>DC-DC Buck 12V→5V</t>
        </is>
      </c>
      <c r="D268" t="inlineStr">
        <is>
          <t>Generic</t>
        </is>
      </c>
      <c r="E268" t="inlineStr">
        <is>
          <t>Buck 5V</t>
        </is>
      </c>
      <c r="F268" t="inlineStr">
        <is>
          <t>1</t>
        </is>
      </c>
      <c r="G268" t="inlineStr">
        <is>
          <t>ea</t>
        </is>
      </c>
      <c r="H268" t="inlineStr">
        <is>
          <t>12V→5V</t>
        </is>
      </c>
      <c r="I268" t="inlineStr">
        <is>
          <t>N/A</t>
        </is>
      </c>
      <c r="J268" t="inlineStr">
        <is>
          <t>Yes</t>
        </is>
      </c>
      <c r="L268" t="inlineStr">
        <is>
          <t>ESP32 + peripherals.</t>
        </is>
      </c>
    </row>
    <row r="269">
      <c r="A269" t="inlineStr">
        <is>
          <t>TC-PRD-0100</t>
        </is>
      </c>
      <c r="B269" t="inlineStr">
        <is>
          <t>Control</t>
        </is>
      </c>
      <c r="C269" t="inlineStr">
        <is>
          <t>ESP32-S3 Dev Board</t>
        </is>
      </c>
      <c r="D269" t="inlineStr">
        <is>
          <t>Espressif/3rd party</t>
        </is>
      </c>
      <c r="E269" t="inlineStr">
        <is>
          <t>ESP32-S3</t>
        </is>
      </c>
      <c r="F269" t="inlineStr">
        <is>
          <t>1</t>
        </is>
      </c>
      <c r="G269" t="inlineStr">
        <is>
          <t>ea</t>
        </is>
      </c>
      <c r="H269" t="inlineStr">
        <is>
          <t>5V</t>
        </is>
      </c>
      <c r="I269" t="inlineStr">
        <is>
          <t>WiFi/BLE</t>
        </is>
      </c>
      <c r="J269" t="inlineStr">
        <is>
          <t>Yes</t>
        </is>
      </c>
      <c r="L269" t="inlineStr">
        <is>
          <t>Same control stack as other sizes.</t>
        </is>
      </c>
    </row>
    <row r="270">
      <c r="A270" t="inlineStr">
        <is>
          <t>TC-PRD-0100</t>
        </is>
      </c>
      <c r="B270" t="inlineStr">
        <is>
          <t>Control</t>
        </is>
      </c>
      <c r="C270" t="inlineStr">
        <is>
          <t>TB6600 Stepper Driver</t>
        </is>
      </c>
      <c r="D270" t="inlineStr">
        <is>
          <t>Generic</t>
        </is>
      </c>
      <c r="E270" t="inlineStr">
        <is>
          <t>TB6600</t>
        </is>
      </c>
      <c r="F270" t="inlineStr">
        <is>
          <t>4</t>
        </is>
      </c>
      <c r="G270" t="inlineStr">
        <is>
          <t>ea</t>
        </is>
      </c>
      <c r="H270" t="inlineStr">
        <is>
          <t>9–42V</t>
        </is>
      </c>
      <c r="I270" t="inlineStr">
        <is>
          <t>STEP/DIR</t>
        </is>
      </c>
      <c r="J270" t="inlineStr">
        <is>
          <t>Yes</t>
        </is>
      </c>
    </row>
    <row r="271">
      <c r="A271" t="inlineStr">
        <is>
          <t>TC-PRD-0101</t>
        </is>
      </c>
      <c r="B271" t="inlineStr">
        <is>
          <t>Control</t>
        </is>
      </c>
      <c r="C271" t="inlineStr">
        <is>
          <t>ESP32-S3 Dev Board</t>
        </is>
      </c>
      <c r="D271" t="inlineStr">
        <is>
          <t>Espressif/3rd party</t>
        </is>
      </c>
      <c r="E271" t="inlineStr">
        <is>
          <t>ESP32-S3</t>
        </is>
      </c>
      <c r="F271" t="inlineStr">
        <is>
          <t>1</t>
        </is>
      </c>
      <c r="G271" t="inlineStr">
        <is>
          <t>ea</t>
        </is>
      </c>
      <c r="H271" t="inlineStr">
        <is>
          <t>5V</t>
        </is>
      </c>
      <c r="I271" t="inlineStr">
        <is>
          <t>WiFi/BLE</t>
        </is>
      </c>
      <c r="J271" t="inlineStr">
        <is>
          <t>Yes</t>
        </is>
      </c>
      <c r="L271" t="inlineStr">
        <is>
          <t>Same control stack as other sizes.</t>
        </is>
      </c>
    </row>
    <row r="272">
      <c r="A272" t="inlineStr">
        <is>
          <t>TC-PRD-0101</t>
        </is>
      </c>
      <c r="B272" t="inlineStr">
        <is>
          <t>Control</t>
        </is>
      </c>
      <c r="C272" t="inlineStr">
        <is>
          <t>TB6600 Stepper Driver</t>
        </is>
      </c>
      <c r="D272" t="inlineStr">
        <is>
          <t>Generic</t>
        </is>
      </c>
      <c r="E272" t="inlineStr">
        <is>
          <t>TB6600</t>
        </is>
      </c>
      <c r="F272" t="inlineStr">
        <is>
          <t>4</t>
        </is>
      </c>
      <c r="G272" t="inlineStr">
        <is>
          <t>ea</t>
        </is>
      </c>
      <c r="H272" t="inlineStr">
        <is>
          <t>9–42V</t>
        </is>
      </c>
      <c r="I272" t="inlineStr">
        <is>
          <t>STEP/DIR</t>
        </is>
      </c>
      <c r="J272" t="inlineStr">
        <is>
          <t>Yes</t>
        </is>
      </c>
    </row>
    <row r="273">
      <c r="A273" t="inlineStr">
        <is>
          <t>TC-PRD-0103</t>
        </is>
      </c>
      <c r="B273" t="inlineStr">
        <is>
          <t>Control</t>
        </is>
      </c>
      <c r="C273" t="inlineStr">
        <is>
          <t>ESP32-S3 Dev Board</t>
        </is>
      </c>
      <c r="D273" t="inlineStr">
        <is>
          <t>Espressif/3rd party</t>
        </is>
      </c>
      <c r="E273" t="inlineStr">
        <is>
          <t>ESP32-S3</t>
        </is>
      </c>
      <c r="F273" t="inlineStr">
        <is>
          <t>1</t>
        </is>
      </c>
      <c r="G273" t="inlineStr">
        <is>
          <t>ea</t>
        </is>
      </c>
      <c r="H273" t="inlineStr">
        <is>
          <t>5V</t>
        </is>
      </c>
      <c r="I273" t="inlineStr">
        <is>
          <t>WiFi/BLE</t>
        </is>
      </c>
      <c r="J273" t="inlineStr">
        <is>
          <t>Yes</t>
        </is>
      </c>
      <c r="L273" t="inlineStr">
        <is>
          <t>Same control stack; consider higher PSU capacity.</t>
        </is>
      </c>
    </row>
    <row r="274">
      <c r="A274" t="inlineStr">
        <is>
          <t>TC-PRD-0103</t>
        </is>
      </c>
      <c r="B274" t="inlineStr">
        <is>
          <t>Control</t>
        </is>
      </c>
      <c r="C274" t="inlineStr">
        <is>
          <t>TB6600 Stepper Driver</t>
        </is>
      </c>
      <c r="D274" t="inlineStr">
        <is>
          <t>Generic</t>
        </is>
      </c>
      <c r="E274" t="inlineStr">
        <is>
          <t>TB6600</t>
        </is>
      </c>
      <c r="F274" t="inlineStr">
        <is>
          <t>4</t>
        </is>
      </c>
      <c r="G274" t="inlineStr">
        <is>
          <t>ea</t>
        </is>
      </c>
      <c r="H274" t="inlineStr">
        <is>
          <t>9–42V</t>
        </is>
      </c>
      <c r="I274" t="inlineStr">
        <is>
          <t>STEP/DIR</t>
        </is>
      </c>
      <c r="J274" t="inlineStr">
        <is>
          <t>Yes</t>
        </is>
      </c>
    </row>
  </sheetData>
  <dataValidations count="3">
    <dataValidation sqref="A2:A250" showDropDown="0" showInputMessage="0" showErrorMessage="0" allowBlank="0" type="list">
      <formula1>=PRODUCT_IDS</formula1>
    </dataValidation>
    <dataValidation sqref="B2:B250" showDropDown="0" showInputMessage="0" showErrorMessage="0" allowBlank="0" type="list">
      <formula1>=SUBSYSTEMS</formula1>
    </dataValidation>
    <dataValidation sqref="J2:J250" showDropDown="0" showInputMessage="0" showErrorMessage="0" allowBlank="0" type="list">
      <formula1>=YESNO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0" customWidth="1" min="6" max="6"/>
    <col width="6" customWidth="1" min="7" max="7"/>
    <col width="8" customWidth="1" min="8" max="8"/>
    <col width="12" customWidth="1" min="9" max="9"/>
    <col width="12" customWidth="1" min="10" max="10"/>
    <col width="28" customWidth="1" min="11" max="11"/>
    <col width="34" customWidth="1" min="12" max="12"/>
  </cols>
  <sheetData>
    <row r="1">
      <c r="A1" s="3" t="inlineStr">
        <is>
          <t>INSTRUCTIONS: List all structural and mechanical components per Product_ID. Use actual lumber dimensions. Quantities are per unit. Flag load-bearing items.</t>
        </is>
      </c>
    </row>
    <row r="2">
      <c r="A2" s="1" t="inlineStr">
        <is>
          <t>Product_ID</t>
        </is>
      </c>
      <c r="B2" s="1" t="inlineStr">
        <is>
          <t>Assembly</t>
        </is>
      </c>
      <c r="C2" s="1" t="inlineStr">
        <is>
          <t>Part_Name</t>
        </is>
      </c>
      <c r="D2" s="1" t="inlineStr">
        <is>
          <t>Material</t>
        </is>
      </c>
      <c r="E2" s="1" t="inlineStr">
        <is>
          <t>Size/Spec</t>
        </is>
      </c>
      <c r="F2" s="1" t="inlineStr">
        <is>
          <t>Length</t>
        </is>
      </c>
      <c r="G2" s="1" t="inlineStr">
        <is>
          <t>Qty</t>
        </is>
      </c>
      <c r="H2" s="1" t="inlineStr">
        <is>
          <t>Unit</t>
        </is>
      </c>
      <c r="I2" s="1" t="inlineStr">
        <is>
          <t>Finish</t>
        </is>
      </c>
      <c r="J2" s="1" t="inlineStr">
        <is>
          <t>Load_Bearing</t>
        </is>
      </c>
      <c r="K2" s="1" t="inlineStr">
        <is>
          <t>Source_URL</t>
        </is>
      </c>
      <c r="L2" s="1" t="inlineStr">
        <is>
          <t>Notes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t="inlineStr">
        <is>
          <t>TC-PRD-0003</t>
        </is>
      </c>
      <c r="B252" t="inlineStr">
        <is>
          <t>Frame</t>
        </is>
      </c>
      <c r="C252" t="inlineStr">
        <is>
          <t>4×4 Post (actual)</t>
        </is>
      </c>
      <c r="D252" t="inlineStr">
        <is>
          <t>Wood (treated)</t>
        </is>
      </c>
      <c r="E252" t="inlineStr">
        <is>
          <t>3.5×3.5</t>
        </is>
      </c>
      <c r="F252" t="inlineStr">
        <is>
          <t>96</t>
        </is>
      </c>
      <c r="G252" t="inlineStr">
        <is>
          <t>4</t>
        </is>
      </c>
      <c r="H252" t="inlineStr">
        <is>
          <t>ea</t>
        </is>
      </c>
      <c r="I252" t="inlineStr">
        <is>
          <t>Sealed</t>
        </is>
      </c>
      <c r="J252" t="inlineStr">
        <is>
          <t>Yes</t>
        </is>
      </c>
      <c r="L252" t="inlineStr">
        <is>
          <t>Corner posts</t>
        </is>
      </c>
    </row>
    <row r="253">
      <c r="A253" t="inlineStr">
        <is>
          <t>TC-PRD-0003</t>
        </is>
      </c>
      <c r="B253" t="inlineStr">
        <is>
          <t>Frame</t>
        </is>
      </c>
      <c r="C253" t="inlineStr">
        <is>
          <t>2×4 Stud (actual)</t>
        </is>
      </c>
      <c r="D253" t="inlineStr">
        <is>
          <t>Wood (treated)</t>
        </is>
      </c>
      <c r="E253" t="inlineStr">
        <is>
          <t>1.5×3.5</t>
        </is>
      </c>
      <c r="F253" t="inlineStr">
        <is>
          <t>48</t>
        </is>
      </c>
      <c r="G253" t="inlineStr">
        <is>
          <t>8</t>
        </is>
      </c>
      <c r="H253" t="inlineStr">
        <is>
          <t>ea</t>
        </is>
      </c>
      <c r="I253" t="inlineStr">
        <is>
          <t>Sealed</t>
        </is>
      </c>
      <c r="J253" t="inlineStr">
        <is>
          <t>Yes</t>
        </is>
      </c>
      <c r="L253" t="inlineStr">
        <is>
          <t>Top/bottom perimeter &amp; bracing</t>
        </is>
      </c>
    </row>
    <row r="254">
      <c r="A254" t="inlineStr">
        <is>
          <t>TC-PRD-0102</t>
        </is>
      </c>
      <c r="B254" t="inlineStr">
        <is>
          <t>Motion</t>
        </is>
      </c>
      <c r="C254" t="inlineStr">
        <is>
          <t>Linear Rail</t>
        </is>
      </c>
      <c r="D254" t="inlineStr">
        <is>
          <t>Steel</t>
        </is>
      </c>
      <c r="E254" t="inlineStr">
        <is>
          <t>MGN12H</t>
        </is>
      </c>
      <c r="F254" t="inlineStr">
        <is>
          <t>2000mm</t>
        </is>
      </c>
      <c r="G254" t="inlineStr">
        <is>
          <t>2</t>
        </is>
      </c>
      <c r="H254" t="inlineStr">
        <is>
          <t>ea</t>
        </is>
      </c>
      <c r="I254" t="inlineStr">
        <is>
          <t>N/A</t>
        </is>
      </c>
      <c r="J254" t="inlineStr">
        <is>
          <t>Yes</t>
        </is>
      </c>
      <c r="L254" t="inlineStr">
        <is>
          <t>X rails (L/R)</t>
        </is>
      </c>
    </row>
    <row r="255">
      <c r="A255" t="inlineStr">
        <is>
          <t>TC-PRD-0102</t>
        </is>
      </c>
      <c r="B255" t="inlineStr">
        <is>
          <t>Motion</t>
        </is>
      </c>
      <c r="C255" t="inlineStr">
        <is>
          <t>Linear Rail</t>
        </is>
      </c>
      <c r="D255" t="inlineStr">
        <is>
          <t>Steel</t>
        </is>
      </c>
      <c r="E255" t="inlineStr">
        <is>
          <t>MGN12H</t>
        </is>
      </c>
      <c r="F255" t="inlineStr">
        <is>
          <t>2000mm</t>
        </is>
      </c>
      <c r="G255" t="inlineStr">
        <is>
          <t>1</t>
        </is>
      </c>
      <c r="H255" t="inlineStr">
        <is>
          <t>ea</t>
        </is>
      </c>
      <c r="I255" t="inlineStr">
        <is>
          <t>N/A</t>
        </is>
      </c>
      <c r="J255" t="inlineStr">
        <is>
          <t>Yes</t>
        </is>
      </c>
      <c r="L255" t="inlineStr">
        <is>
          <t>Y rail</t>
        </is>
      </c>
    </row>
    <row r="256">
      <c r="A256" t="inlineStr">
        <is>
          <t>TC-PRD-0200</t>
        </is>
      </c>
      <c r="B256" t="inlineStr">
        <is>
          <t>Bin</t>
        </is>
      </c>
      <c r="C256" t="inlineStr">
        <is>
          <t>Tray body</t>
        </is>
      </c>
      <c r="D256" t="inlineStr">
        <is>
          <t>HDPE/Plastic</t>
        </is>
      </c>
      <c r="E256" t="inlineStr">
        <is>
          <t>8in height</t>
        </is>
      </c>
      <c r="F256" t="inlineStr">
        <is>
          <t>—</t>
        </is>
      </c>
      <c r="G256" t="inlineStr">
        <is>
          <t>1</t>
        </is>
      </c>
      <c r="H256" t="inlineStr">
        <is>
          <t>ea</t>
        </is>
      </c>
      <c r="I256" t="inlineStr">
        <is>
          <t>Washable</t>
        </is>
      </c>
      <c r="J256" t="inlineStr">
        <is>
          <t>Yes</t>
        </is>
      </c>
      <c r="L256" t="inlineStr">
        <is>
          <t>Primary cassette tray</t>
        </is>
      </c>
    </row>
    <row r="257">
      <c r="A257" t="inlineStr">
        <is>
          <t>TC-PRD-0200</t>
        </is>
      </c>
      <c r="B257" t="inlineStr">
        <is>
          <t>Bin</t>
        </is>
      </c>
      <c r="C257" t="inlineStr">
        <is>
          <t>Drawer Slides (full extension)</t>
        </is>
      </c>
      <c r="D257" t="inlineStr">
        <is>
          <t>Steel</t>
        </is>
      </c>
      <c r="E257" t="inlineStr">
        <is>
          <t>Heavy duty</t>
        </is>
      </c>
      <c r="F257" t="inlineStr">
        <is>
          <t>—</t>
        </is>
      </c>
      <c r="G257" t="inlineStr">
        <is>
          <t>1</t>
        </is>
      </c>
      <c r="H257" t="inlineStr">
        <is>
          <t>pair</t>
        </is>
      </c>
      <c r="I257" t="inlineStr">
        <is>
          <t>Zinc/Stainless</t>
        </is>
      </c>
      <c r="J257" t="inlineStr">
        <is>
          <t>Yes</t>
        </is>
      </c>
      <c r="L257" t="inlineStr">
        <is>
          <t>Rated 100–200 lb</t>
        </is>
      </c>
    </row>
    <row r="258">
      <c r="A258" t="inlineStr">
        <is>
          <t>TC-PRD-0400</t>
        </is>
      </c>
      <c r="B258" t="inlineStr">
        <is>
          <t>Enclosure</t>
        </is>
      </c>
      <c r="C258" t="inlineStr">
        <is>
          <t>IP65 Dome Housing</t>
        </is>
      </c>
      <c r="D258" t="inlineStr">
        <is>
          <t>Plastic</t>
        </is>
      </c>
      <c r="E258" t="inlineStr">
        <is>
          <t>—</t>
        </is>
      </c>
      <c r="F258" t="inlineStr">
        <is>
          <t>—</t>
        </is>
      </c>
      <c r="G258" t="inlineStr">
        <is>
          <t>1</t>
        </is>
      </c>
      <c r="H258" t="inlineStr">
        <is>
          <t>ea</t>
        </is>
      </c>
      <c r="I258" t="inlineStr">
        <is>
          <t>UV resistant</t>
        </is>
      </c>
      <c r="J258" t="inlineStr">
        <is>
          <t>No</t>
        </is>
      </c>
      <c r="L258" t="inlineStr">
        <is>
          <t>UFO-style enclosure</t>
        </is>
      </c>
    </row>
    <row r="259">
      <c r="A259" t="inlineStr">
        <is>
          <t>TC-PRD-0500</t>
        </is>
      </c>
      <c r="B259" t="inlineStr">
        <is>
          <t>Mobile</t>
        </is>
      </c>
      <c r="C259" t="inlineStr">
        <is>
          <t>Chassis frame</t>
        </is>
      </c>
      <c r="D259" t="inlineStr">
        <is>
          <t>Wood/Metal</t>
        </is>
      </c>
      <c r="E259" t="inlineStr">
        <is>
          <t>—</t>
        </is>
      </c>
      <c r="F259" t="inlineStr">
        <is>
          <t>—</t>
        </is>
      </c>
      <c r="G259" t="inlineStr">
        <is>
          <t>1</t>
        </is>
      </c>
      <c r="H259" t="inlineStr">
        <is>
          <t>ea</t>
        </is>
      </c>
      <c r="I259" t="inlineStr">
        <is>
          <t>Sealed</t>
        </is>
      </c>
      <c r="J259" t="inlineStr">
        <is>
          <t>Yes</t>
        </is>
      </c>
      <c r="L259" t="inlineStr">
        <is>
          <t>Mobile structure</t>
        </is>
      </c>
    </row>
    <row r="260">
      <c r="A260" t="inlineStr">
        <is>
          <t>TC-PRD-0600</t>
        </is>
      </c>
      <c r="B260" t="inlineStr">
        <is>
          <t>Duck</t>
        </is>
      </c>
      <c r="C260" t="inlineStr">
        <is>
          <t>Duck shelter/dock</t>
        </is>
      </c>
      <c r="D260" t="inlineStr">
        <is>
          <t>Wood/Plastic</t>
        </is>
      </c>
      <c r="E260" t="inlineStr">
        <is>
          <t>—</t>
        </is>
      </c>
      <c r="F260" t="inlineStr">
        <is>
          <t>—</t>
        </is>
      </c>
      <c r="G260" t="inlineStr">
        <is>
          <t>1</t>
        </is>
      </c>
      <c r="H260" t="inlineStr">
        <is>
          <t>ea</t>
        </is>
      </c>
      <c r="I260" t="inlineStr">
        <is>
          <t>Sealed</t>
        </is>
      </c>
      <c r="J260" t="inlineStr">
        <is>
          <t>Yes</t>
        </is>
      </c>
      <c r="L260" t="inlineStr">
        <is>
          <t>Module</t>
        </is>
      </c>
    </row>
    <row r="261">
      <c r="A261" t="inlineStr">
        <is>
          <t>TC-PRD-0001</t>
        </is>
      </c>
      <c r="B261" t="inlineStr">
        <is>
          <t>Frame</t>
        </is>
      </c>
      <c r="C261" t="inlineStr">
        <is>
          <t>4×4 Post (actual)</t>
        </is>
      </c>
      <c r="D261" t="inlineStr">
        <is>
          <t>Wood (treated)</t>
        </is>
      </c>
      <c r="E261" t="inlineStr">
        <is>
          <t>3.5×3.5</t>
        </is>
      </c>
      <c r="F261" t="inlineStr">
        <is>
          <t>60</t>
        </is>
      </c>
      <c r="G261" t="inlineStr">
        <is>
          <t>4</t>
        </is>
      </c>
      <c r="H261" t="inlineStr">
        <is>
          <t>ea</t>
        </is>
      </c>
      <c r="I261" t="inlineStr">
        <is>
          <t>Sealed</t>
        </is>
      </c>
      <c r="J261" t="inlineStr">
        <is>
          <t>Yes</t>
        </is>
      </c>
      <c r="L261" t="inlineStr">
        <is>
          <t>Corner posts (5 ft height)</t>
        </is>
      </c>
    </row>
    <row r="262">
      <c r="A262" t="inlineStr">
        <is>
          <t>TC-PRD-0001</t>
        </is>
      </c>
      <c r="B262" t="inlineStr">
        <is>
          <t>Frame</t>
        </is>
      </c>
      <c r="C262" t="inlineStr">
        <is>
          <t>2×4 Stud (actual)</t>
        </is>
      </c>
      <c r="D262" t="inlineStr">
        <is>
          <t>Wood (treated)</t>
        </is>
      </c>
      <c r="E262" t="inlineStr">
        <is>
          <t>1.5×3.5</t>
        </is>
      </c>
      <c r="F262" t="inlineStr">
        <is>
          <t>36</t>
        </is>
      </c>
      <c r="G262" t="inlineStr">
        <is>
          <t>8</t>
        </is>
      </c>
      <c r="H262" t="inlineStr">
        <is>
          <t>ea</t>
        </is>
      </c>
      <c r="I262" t="inlineStr">
        <is>
          <t>Sealed</t>
        </is>
      </c>
      <c r="J262" t="inlineStr">
        <is>
          <t>Yes</t>
        </is>
      </c>
      <c r="L262" t="inlineStr">
        <is>
          <t>Top/bottom perimeter &amp; bracing</t>
        </is>
      </c>
    </row>
    <row r="263">
      <c r="A263" t="inlineStr">
        <is>
          <t>TC-PRD-0002</t>
        </is>
      </c>
      <c r="B263" t="inlineStr">
        <is>
          <t>Frame</t>
        </is>
      </c>
      <c r="C263" t="inlineStr">
        <is>
          <t>4×4 Post (actual)</t>
        </is>
      </c>
      <c r="D263" t="inlineStr">
        <is>
          <t>Wood (treated)</t>
        </is>
      </c>
      <c r="E263" t="inlineStr">
        <is>
          <t>3.5×3.5</t>
        </is>
      </c>
      <c r="F263" t="inlineStr">
        <is>
          <t>72</t>
        </is>
      </c>
      <c r="G263" t="inlineStr">
        <is>
          <t>4</t>
        </is>
      </c>
      <c r="H263" t="inlineStr">
        <is>
          <t>ea</t>
        </is>
      </c>
      <c r="I263" t="inlineStr">
        <is>
          <t>Sealed</t>
        </is>
      </c>
      <c r="J263" t="inlineStr">
        <is>
          <t>Yes</t>
        </is>
      </c>
      <c r="L263" t="inlineStr">
        <is>
          <t>Corner posts (6 ft height)</t>
        </is>
      </c>
    </row>
    <row r="264">
      <c r="A264" t="inlineStr">
        <is>
          <t>TC-PRD-0002</t>
        </is>
      </c>
      <c r="B264" t="inlineStr">
        <is>
          <t>Frame</t>
        </is>
      </c>
      <c r="C264" t="inlineStr">
        <is>
          <t>2×4 Stud (actual)</t>
        </is>
      </c>
      <c r="D264" t="inlineStr">
        <is>
          <t>Wood (treated)</t>
        </is>
      </c>
      <c r="E264" t="inlineStr">
        <is>
          <t>1.5×3.5</t>
        </is>
      </c>
      <c r="F264" t="inlineStr">
        <is>
          <t>48</t>
        </is>
      </c>
      <c r="G264" t="inlineStr">
        <is>
          <t>8</t>
        </is>
      </c>
      <c r="H264" t="inlineStr">
        <is>
          <t>ea</t>
        </is>
      </c>
      <c r="I264" t="inlineStr">
        <is>
          <t>Sealed</t>
        </is>
      </c>
      <c r="J264" t="inlineStr">
        <is>
          <t>Yes</t>
        </is>
      </c>
      <c r="L264" t="inlineStr">
        <is>
          <t>Top/bottom perimeter &amp; bracing</t>
        </is>
      </c>
    </row>
    <row r="265">
      <c r="A265" t="inlineStr">
        <is>
          <t>TC-PRD-0004</t>
        </is>
      </c>
      <c r="B265" t="inlineStr">
        <is>
          <t>Frame</t>
        </is>
      </c>
      <c r="C265" t="inlineStr">
        <is>
          <t>4×4 Post (actual)</t>
        </is>
      </c>
      <c r="D265" t="inlineStr">
        <is>
          <t>Wood (treated)</t>
        </is>
      </c>
      <c r="E265" t="inlineStr">
        <is>
          <t>3.5×3.5</t>
        </is>
      </c>
      <c r="F265" t="inlineStr">
        <is>
          <t>96</t>
        </is>
      </c>
      <c r="G265" t="inlineStr">
        <is>
          <t>4</t>
        </is>
      </c>
      <c r="H265" t="inlineStr">
        <is>
          <t>ea</t>
        </is>
      </c>
      <c r="I265" t="inlineStr">
        <is>
          <t>Sealed</t>
        </is>
      </c>
      <c r="J265" t="inlineStr">
        <is>
          <t>Yes</t>
        </is>
      </c>
      <c r="L265" t="inlineStr">
        <is>
          <t>Corner posts (8 ft height)</t>
        </is>
      </c>
    </row>
    <row r="266">
      <c r="A266" t="inlineStr">
        <is>
          <t>TC-PRD-0004</t>
        </is>
      </c>
      <c r="B266" t="inlineStr">
        <is>
          <t>Frame</t>
        </is>
      </c>
      <c r="C266" t="inlineStr">
        <is>
          <t>2×4 Stud (actual)</t>
        </is>
      </c>
      <c r="D266" t="inlineStr">
        <is>
          <t>Wood (treated)</t>
        </is>
      </c>
      <c r="E266" t="inlineStr">
        <is>
          <t>1.5×3.5</t>
        </is>
      </c>
      <c r="F266" t="inlineStr">
        <is>
          <t>72</t>
        </is>
      </c>
      <c r="G266" t="inlineStr">
        <is>
          <t>8</t>
        </is>
      </c>
      <c r="H266" t="inlineStr">
        <is>
          <t>ea</t>
        </is>
      </c>
      <c r="I266" t="inlineStr">
        <is>
          <t>Sealed</t>
        </is>
      </c>
      <c r="J266" t="inlineStr">
        <is>
          <t>Yes</t>
        </is>
      </c>
      <c r="L266" t="inlineStr">
        <is>
          <t>Top/bottom perimeter &amp; bracing</t>
        </is>
      </c>
    </row>
    <row r="267">
      <c r="A267" t="inlineStr">
        <is>
          <t>TC-PRD-0100</t>
        </is>
      </c>
      <c r="B267" t="inlineStr">
        <is>
          <t>Motion</t>
        </is>
      </c>
      <c r="C267" t="inlineStr">
        <is>
          <t>Linear Rail</t>
        </is>
      </c>
      <c r="D267" t="inlineStr">
        <is>
          <t>Steel</t>
        </is>
      </c>
      <c r="E267" t="inlineStr">
        <is>
          <t>MGN12H</t>
        </is>
      </c>
      <c r="F267" t="inlineStr">
        <is>
          <t>1100mm</t>
        </is>
      </c>
      <c r="G267" t="inlineStr">
        <is>
          <t>2</t>
        </is>
      </c>
      <c r="H267" t="inlineStr">
        <is>
          <t>ea</t>
        </is>
      </c>
      <c r="I267" t="inlineStr">
        <is>
          <t>N/A</t>
        </is>
      </c>
      <c r="J267" t="inlineStr">
        <is>
          <t>Yes</t>
        </is>
      </c>
      <c r="L267" t="inlineStr">
        <is>
          <t>X rails (L/R)</t>
        </is>
      </c>
    </row>
    <row r="268">
      <c r="A268" t="inlineStr">
        <is>
          <t>TC-PRD-0100</t>
        </is>
      </c>
      <c r="B268" t="inlineStr">
        <is>
          <t>Motion</t>
        </is>
      </c>
      <c r="C268" t="inlineStr">
        <is>
          <t>Linear Rail</t>
        </is>
      </c>
      <c r="D268" t="inlineStr">
        <is>
          <t>Steel</t>
        </is>
      </c>
      <c r="E268" t="inlineStr">
        <is>
          <t>MGN12H</t>
        </is>
      </c>
      <c r="F268" t="inlineStr">
        <is>
          <t>1100mm</t>
        </is>
      </c>
      <c r="G268" t="inlineStr">
        <is>
          <t>1</t>
        </is>
      </c>
      <c r="H268" t="inlineStr">
        <is>
          <t>ea</t>
        </is>
      </c>
      <c r="I268" t="inlineStr">
        <is>
          <t>N/A</t>
        </is>
      </c>
      <c r="J268" t="inlineStr">
        <is>
          <t>Yes</t>
        </is>
      </c>
      <c r="L268" t="inlineStr">
        <is>
          <t>Y rail</t>
        </is>
      </c>
    </row>
    <row r="269">
      <c r="A269" t="inlineStr">
        <is>
          <t>TC-PRD-0100</t>
        </is>
      </c>
      <c r="B269" t="inlineStr">
        <is>
          <t>Motion</t>
        </is>
      </c>
      <c r="C269" t="inlineStr">
        <is>
          <t>Linear Rail</t>
        </is>
      </c>
      <c r="D269" t="inlineStr">
        <is>
          <t>Steel</t>
        </is>
      </c>
      <c r="E269" t="inlineStr">
        <is>
          <t>MGN9/MGN12</t>
        </is>
      </c>
      <c r="F269" t="inlineStr">
        <is>
          <t>700mm</t>
        </is>
      </c>
      <c r="G269" t="inlineStr">
        <is>
          <t>2</t>
        </is>
      </c>
      <c r="H269" t="inlineStr">
        <is>
          <t>ea</t>
        </is>
      </c>
      <c r="I269" t="inlineStr">
        <is>
          <t>N/A</t>
        </is>
      </c>
      <c r="J269" t="inlineStr">
        <is>
          <t>Yes</t>
        </is>
      </c>
      <c r="L269" t="inlineStr">
        <is>
          <t>Z rails</t>
        </is>
      </c>
    </row>
    <row r="270">
      <c r="A270" t="inlineStr">
        <is>
          <t>TC-PRD-0101</t>
        </is>
      </c>
      <c r="B270" t="inlineStr">
        <is>
          <t>Motion</t>
        </is>
      </c>
      <c r="C270" t="inlineStr">
        <is>
          <t>Linear Rail</t>
        </is>
      </c>
      <c r="D270" t="inlineStr">
        <is>
          <t>Steel</t>
        </is>
      </c>
      <c r="E270" t="inlineStr">
        <is>
          <t>MGN12H</t>
        </is>
      </c>
      <c r="F270" t="inlineStr">
        <is>
          <t>1400mm</t>
        </is>
      </c>
      <c r="G270" t="inlineStr">
        <is>
          <t>2</t>
        </is>
      </c>
      <c r="H270" t="inlineStr">
        <is>
          <t>ea</t>
        </is>
      </c>
      <c r="I270" t="inlineStr">
        <is>
          <t>N/A</t>
        </is>
      </c>
      <c r="J270" t="inlineStr">
        <is>
          <t>Yes</t>
        </is>
      </c>
      <c r="L270" t="inlineStr">
        <is>
          <t>X rails (L/R)</t>
        </is>
      </c>
    </row>
    <row r="271">
      <c r="A271" t="inlineStr">
        <is>
          <t>TC-PRD-0101</t>
        </is>
      </c>
      <c r="B271" t="inlineStr">
        <is>
          <t>Motion</t>
        </is>
      </c>
      <c r="C271" t="inlineStr">
        <is>
          <t>Linear Rail</t>
        </is>
      </c>
      <c r="D271" t="inlineStr">
        <is>
          <t>Steel</t>
        </is>
      </c>
      <c r="E271" t="inlineStr">
        <is>
          <t>MGN12H</t>
        </is>
      </c>
      <c r="F271" t="inlineStr">
        <is>
          <t>1400mm</t>
        </is>
      </c>
      <c r="G271" t="inlineStr">
        <is>
          <t>1</t>
        </is>
      </c>
      <c r="H271" t="inlineStr">
        <is>
          <t>ea</t>
        </is>
      </c>
      <c r="I271" t="inlineStr">
        <is>
          <t>N/A</t>
        </is>
      </c>
      <c r="J271" t="inlineStr">
        <is>
          <t>Yes</t>
        </is>
      </c>
      <c r="L271" t="inlineStr">
        <is>
          <t>Y rail</t>
        </is>
      </c>
    </row>
    <row r="272">
      <c r="A272" t="inlineStr">
        <is>
          <t>TC-PRD-0101</t>
        </is>
      </c>
      <c r="B272" t="inlineStr">
        <is>
          <t>Motion</t>
        </is>
      </c>
      <c r="C272" t="inlineStr">
        <is>
          <t>Linear Rail</t>
        </is>
      </c>
      <c r="D272" t="inlineStr">
        <is>
          <t>Steel</t>
        </is>
      </c>
      <c r="E272" t="inlineStr">
        <is>
          <t>MGN9/MGN12</t>
        </is>
      </c>
      <c r="F272" t="inlineStr">
        <is>
          <t>900mm</t>
        </is>
      </c>
      <c r="G272" t="inlineStr">
        <is>
          <t>2</t>
        </is>
      </c>
      <c r="H272" t="inlineStr">
        <is>
          <t>ea</t>
        </is>
      </c>
      <c r="I272" t="inlineStr">
        <is>
          <t>N/A</t>
        </is>
      </c>
      <c r="J272" t="inlineStr">
        <is>
          <t>Yes</t>
        </is>
      </c>
      <c r="L272" t="inlineStr">
        <is>
          <t>Z rails</t>
        </is>
      </c>
    </row>
    <row r="273">
      <c r="A273" t="inlineStr">
        <is>
          <t>TC-PRD-0103</t>
        </is>
      </c>
      <c r="B273" t="inlineStr">
        <is>
          <t>Motion</t>
        </is>
      </c>
      <c r="C273" t="inlineStr">
        <is>
          <t>Linear Rail</t>
        </is>
      </c>
      <c r="D273" t="inlineStr">
        <is>
          <t>Steel</t>
        </is>
      </c>
      <c r="E273" t="inlineStr">
        <is>
          <t>MGN15 (recommended)</t>
        </is>
      </c>
      <c r="F273" t="inlineStr">
        <is>
          <t>2000mm</t>
        </is>
      </c>
      <c r="G273" t="inlineStr">
        <is>
          <t>2</t>
        </is>
      </c>
      <c r="H273" t="inlineStr">
        <is>
          <t>ea</t>
        </is>
      </c>
      <c r="I273" t="inlineStr">
        <is>
          <t>N/A</t>
        </is>
      </c>
      <c r="J273" t="inlineStr">
        <is>
          <t>Yes</t>
        </is>
      </c>
      <c r="L273" t="inlineStr">
        <is>
          <t>X rails (L/R), stiffer for 6 ft span</t>
        </is>
      </c>
    </row>
    <row r="274">
      <c r="A274" t="inlineStr">
        <is>
          <t>TC-PRD-0103</t>
        </is>
      </c>
      <c r="B274" t="inlineStr">
        <is>
          <t>Motion</t>
        </is>
      </c>
      <c r="C274" t="inlineStr">
        <is>
          <t>Linear Rail</t>
        </is>
      </c>
      <c r="D274" t="inlineStr">
        <is>
          <t>Steel</t>
        </is>
      </c>
      <c r="E274" t="inlineStr">
        <is>
          <t>MGN15 (recommended)</t>
        </is>
      </c>
      <c r="F274" t="inlineStr">
        <is>
          <t>2000mm</t>
        </is>
      </c>
      <c r="G274" t="inlineStr">
        <is>
          <t>1</t>
        </is>
      </c>
      <c r="H274" t="inlineStr">
        <is>
          <t>ea</t>
        </is>
      </c>
      <c r="I274" t="inlineStr">
        <is>
          <t>N/A</t>
        </is>
      </c>
      <c r="J274" t="inlineStr">
        <is>
          <t>Yes</t>
        </is>
      </c>
      <c r="L274" t="inlineStr">
        <is>
          <t>Y rail</t>
        </is>
      </c>
    </row>
    <row r="275">
      <c r="A275" t="inlineStr">
        <is>
          <t>TC-PRD-0103</t>
        </is>
      </c>
      <c r="B275" t="inlineStr">
        <is>
          <t>Motion</t>
        </is>
      </c>
      <c r="C275" t="inlineStr">
        <is>
          <t>Linear Rail</t>
        </is>
      </c>
      <c r="D275" t="inlineStr">
        <is>
          <t>Steel</t>
        </is>
      </c>
      <c r="E275" t="inlineStr">
        <is>
          <t>MGN12</t>
        </is>
      </c>
      <c r="F275" t="inlineStr">
        <is>
          <t>1200mm</t>
        </is>
      </c>
      <c r="G275" t="inlineStr">
        <is>
          <t>2</t>
        </is>
      </c>
      <c r="H275" t="inlineStr">
        <is>
          <t>ea</t>
        </is>
      </c>
      <c r="I275" t="inlineStr">
        <is>
          <t>N/A</t>
        </is>
      </c>
      <c r="J275" t="inlineStr">
        <is>
          <t>Yes</t>
        </is>
      </c>
      <c r="L275" t="inlineStr">
        <is>
          <t>Z rails</t>
        </is>
      </c>
    </row>
  </sheetData>
  <dataValidations count="2">
    <dataValidation sqref="A2:A250" showDropDown="0" showInputMessage="0" showErrorMessage="0" allowBlank="0" type="list">
      <formula1>=PRODUCT_IDS</formula1>
    </dataValidation>
    <dataValidation sqref="J2:J250" showDropDown="0" showInputMessage="0" showErrorMessage="0" allowBlank="0" type="list">
      <formula1>=YESNO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20" customWidth="1" min="5" max="5"/>
    <col width="22" customWidth="1" min="6" max="6"/>
    <col width="30" customWidth="1" min="7" max="7"/>
    <col width="28" customWidth="1" min="8" max="8"/>
  </cols>
  <sheetData>
    <row r="1">
      <c r="A1" s="3" t="inlineStr">
        <is>
          <t>INSTRUCTIONS: Describe why the product exists. Focus on customer pain, benefits, and differentiation. Used for sales, marketing, and investor decks.</t>
        </is>
      </c>
    </row>
    <row r="2">
      <c r="A2" s="1" t="inlineStr">
        <is>
          <t>Product_ID</t>
        </is>
      </c>
      <c r="B2" s="1" t="inlineStr">
        <is>
          <t>Customer_Type</t>
        </is>
      </c>
      <c r="C2" s="1" t="inlineStr">
        <is>
          <t>Pain_Point</t>
        </is>
      </c>
      <c r="D2" s="1" t="inlineStr">
        <is>
          <t>Primary_Benefit</t>
        </is>
      </c>
      <c r="E2" s="1" t="inlineStr">
        <is>
          <t>Secondary_Benefit</t>
        </is>
      </c>
      <c r="F2" s="1" t="inlineStr">
        <is>
          <t>Differentiator</t>
        </is>
      </c>
      <c r="G2" s="1" t="inlineStr">
        <is>
          <t>ROI_Story</t>
        </is>
      </c>
      <c r="H2" s="1" t="inlineStr">
        <is>
          <t>Notes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</sheetData>
  <dataValidations count="2">
    <dataValidation sqref="A2:A120" showDropDown="0" showInputMessage="0" showErrorMessage="0" allowBlank="0" type="list">
      <formula1>=PRODUCT_IDS</formula1>
    </dataValidation>
    <dataValidation sqref="B2:B120" showDropDown="0" showInputMessage="0" showErrorMessage="0" allowBlank="0" type="list">
      <formula1>=CUSTOMERS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34" customWidth="1" min="9" max="9"/>
  </cols>
  <sheetData>
    <row r="1">
      <c r="A1" s="3" t="inlineStr">
        <is>
          <t>INSTRUCTIONS: Optional. Track launches, bundles, or seasonal promos tied to Product_IDs. Dates control validity.</t>
        </is>
      </c>
    </row>
    <row r="2">
      <c r="A2" s="1" t="inlineStr">
        <is>
          <t>Promo_ID</t>
        </is>
      </c>
      <c r="B2" s="1" t="inlineStr">
        <is>
          <t>Product_ID</t>
        </is>
      </c>
      <c r="C2" s="1" t="inlineStr">
        <is>
          <t>Promo_Type</t>
        </is>
      </c>
      <c r="D2" s="1" t="inlineStr">
        <is>
          <t>Start_Date</t>
        </is>
      </c>
      <c r="E2" s="1" t="inlineStr">
        <is>
          <t>End_Date</t>
        </is>
      </c>
      <c r="F2" s="1" t="inlineStr">
        <is>
          <t>Discount_Type</t>
        </is>
      </c>
      <c r="G2" s="1" t="inlineStr">
        <is>
          <t>Discount_Value</t>
        </is>
      </c>
      <c r="H2" s="1" t="inlineStr">
        <is>
          <t>Channel</t>
        </is>
      </c>
      <c r="I2" s="1" t="inlineStr">
        <is>
          <t>Notes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</sheetData>
  <dataValidations count="3">
    <dataValidation sqref="B2:B120" showDropDown="0" showInputMessage="0" showErrorMessage="0" allowBlank="0" type="list">
      <formula1>=PRODUCT_IDS</formula1>
    </dataValidation>
    <dataValidation sqref="C2:C120" showDropDown="0" showInputMessage="0" showErrorMessage="0" allowBlank="0" type="list">
      <formula1>=PROMO_TYPES</formula1>
    </dataValidation>
    <dataValidation sqref="H2:H120" showDropDown="0" showInputMessage="0" showErrorMessage="0" allowBlank="0" type="list">
      <formula1>=CHANNELS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46" customWidth="1" min="5" max="5"/>
  </cols>
  <sheetData>
    <row r="1">
      <c r="A1" s="3" t="inlineStr">
        <is>
          <t>INSTRUCTIONS: Defines ownership of data and IP. Edit only with leadership approval.</t>
        </is>
      </c>
    </row>
    <row r="2">
      <c r="A2" s="1" t="inlineStr">
        <is>
          <t>Data_Type</t>
        </is>
      </c>
      <c r="B2" s="1" t="inlineStr">
        <is>
          <t>Owner</t>
        </is>
      </c>
      <c r="C2" s="1" t="inlineStr">
        <is>
          <t>Contact</t>
        </is>
      </c>
      <c r="D2" s="1" t="inlineStr">
        <is>
          <t>System_of_Record</t>
        </is>
      </c>
      <c r="E2" s="1" t="inlineStr">
        <is>
          <t>Notes</t>
        </is>
      </c>
    </row>
    <row r="3">
      <c r="A3" s="2" t="inlineStr">
        <is>
          <t>CAD (SolidWorks)</t>
        </is>
      </c>
      <c r="B3" s="2" t="inlineStr">
        <is>
          <t>Tender Cells Eng</t>
        </is>
      </c>
      <c r="C3" s="2" t="inlineStr">
        <is>
          <t>—</t>
        </is>
      </c>
      <c r="D3" s="2" t="inlineStr">
        <is>
          <t>Google Drive</t>
        </is>
      </c>
      <c r="E3" s="2" t="inlineStr">
        <is>
          <t>All CAD templates and design configs.</t>
        </is>
      </c>
    </row>
    <row r="4">
      <c r="A4" s="2" t="inlineStr">
        <is>
          <t>Firmware</t>
        </is>
      </c>
      <c r="B4" s="2" t="inlineStr">
        <is>
          <t>Tender Cells Eng</t>
        </is>
      </c>
      <c r="C4" s="2" t="inlineStr">
        <is>
          <t>—</t>
        </is>
      </c>
      <c r="D4" s="2" t="inlineStr">
        <is>
          <t>Git repo</t>
        </is>
      </c>
      <c r="E4" s="2" t="inlineStr">
        <is>
          <t>ESP32 firmware and state machines.</t>
        </is>
      </c>
    </row>
    <row r="5">
      <c r="A5" s="2" t="inlineStr">
        <is>
          <t>Electrical Schematics</t>
        </is>
      </c>
      <c r="B5" s="2" t="inlineStr">
        <is>
          <t>Tender Cells Eng</t>
        </is>
      </c>
      <c r="C5" s="2" t="inlineStr">
        <is>
          <t>—</t>
        </is>
      </c>
      <c r="D5" s="2" t="inlineStr">
        <is>
          <t>Google Drive</t>
        </is>
      </c>
      <c r="E5" s="2" t="inlineStr">
        <is>
          <t>Wiring diagrams and harness docs.</t>
        </is>
      </c>
    </row>
    <row r="6">
      <c r="A6" s="2" t="inlineStr">
        <is>
          <t>BOM &amp; Pricing</t>
        </is>
      </c>
      <c r="B6" s="2" t="inlineStr">
        <is>
          <t>Ops/Supply</t>
        </is>
      </c>
      <c r="C6" s="2" t="inlineStr">
        <is>
          <t>—</t>
        </is>
      </c>
      <c r="D6" s="2" t="inlineStr">
        <is>
          <t>This Workbook</t>
        </is>
      </c>
      <c r="E6" s="2" t="inlineStr">
        <is>
          <t>Procurement and cost updates.</t>
        </is>
      </c>
    </row>
    <row r="7">
      <c r="A7" s="2" t="inlineStr">
        <is>
          <t>Sales Collateral</t>
        </is>
      </c>
      <c r="B7" s="2" t="inlineStr">
        <is>
          <t>Sales/Marketing</t>
        </is>
      </c>
      <c r="C7" s="2" t="inlineStr">
        <is>
          <t>—</t>
        </is>
      </c>
      <c r="D7" s="2" t="inlineStr">
        <is>
          <t>Drive/CRM</t>
        </is>
      </c>
      <c r="E7" s="2" t="inlineStr">
        <is>
          <t>One-pagers, decks, web copy.</t>
        </is>
      </c>
    </row>
    <row r="8">
      <c r="A8" s="2" t="inlineStr">
        <is>
          <t>Customer Data</t>
        </is>
      </c>
      <c r="B8" s="2" t="inlineStr">
        <is>
          <t>Customer</t>
        </is>
      </c>
      <c r="C8" s="2" t="inlineStr">
        <is>
          <t>—</t>
        </is>
      </c>
      <c r="D8" s="2" t="inlineStr">
        <is>
          <t>CRM</t>
        </is>
      </c>
      <c r="E8" s="2" t="inlineStr">
        <is>
          <t>Privacy-sensitive.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46" customWidth="1" min="4" max="4"/>
  </cols>
  <sheetData>
    <row r="1">
      <c r="A1" s="3" t="inlineStr">
        <is>
          <t>INSTRUCTIONS: Canonical naming rules for CAD, firmware, SKUs, and documents. Do not deviate without updating this sheet first.</t>
        </is>
      </c>
    </row>
    <row r="2">
      <c r="A2" s="1" t="inlineStr">
        <is>
          <t>Item_Type</t>
        </is>
      </c>
      <c r="B2" s="1" t="inlineStr">
        <is>
          <t>Format</t>
        </is>
      </c>
      <c r="C2" s="1" t="inlineStr">
        <is>
          <t>Examples</t>
        </is>
      </c>
      <c r="D2" s="1" t="inlineStr">
        <is>
          <t>Notes</t>
        </is>
      </c>
    </row>
    <row r="3">
      <c r="A3" s="2" t="inlineStr">
        <is>
          <t>SKU</t>
        </is>
      </c>
      <c r="B3" s="2" t="inlineStr">
        <is>
          <t>TC-[FAMILY]-[SIZE]-[VARIANT]-[REV]</t>
        </is>
      </c>
      <c r="C3" s="2" t="inlineStr">
        <is>
          <t>TC-CELL-T-PRO-A</t>
        </is>
      </c>
      <c r="D3" s="2" t="inlineStr">
        <is>
          <t>Size/Variant optional when blank.</t>
        </is>
      </c>
    </row>
    <row r="4">
      <c r="A4" s="2" t="inlineStr">
        <is>
          <t>Product_ID</t>
        </is>
      </c>
      <c r="B4" s="2" t="inlineStr">
        <is>
          <t>TC-PRD-####</t>
        </is>
      </c>
      <c r="C4" s="2" t="inlineStr">
        <is>
          <t>TC-PRD-0102</t>
        </is>
      </c>
      <c r="D4" s="2" t="inlineStr">
        <is>
          <t>Never reuse an ID.</t>
        </is>
      </c>
    </row>
    <row r="5">
      <c r="A5" s="2" t="inlineStr">
        <is>
          <t>CAD Part</t>
        </is>
      </c>
      <c r="B5" s="2" t="inlineStr">
        <is>
          <t>TC_[SUBSYS]_[DESC]_REV</t>
        </is>
      </c>
      <c r="C5" s="2" t="inlineStr">
        <is>
          <t>TC_GANTRY_CARRIAGE_REV_A</t>
        </is>
      </c>
      <c r="D5" s="2" t="inlineStr">
        <is>
          <t>Use underscores; no spaces.</t>
        </is>
      </c>
    </row>
    <row r="6">
      <c r="A6" s="2" t="inlineStr">
        <is>
          <t>CAD Assembly</t>
        </is>
      </c>
      <c r="B6" s="2" t="inlineStr">
        <is>
          <t>TC_[PRODUCT]_[ASM]_REV</t>
        </is>
      </c>
      <c r="C6" s="2" t="inlineStr">
        <is>
          <t>TC_CELL_T_MASTER_ASM_REV_A</t>
        </is>
      </c>
      <c r="D6" s="2" t="inlineStr">
        <is>
          <t>Top-level assembly has configs.</t>
        </is>
      </c>
    </row>
    <row r="7">
      <c r="A7" s="2" t="inlineStr">
        <is>
          <t>Firmware Repo</t>
        </is>
      </c>
      <c r="B7" s="2" t="inlineStr">
        <is>
          <t>tc-[device]-fw</t>
        </is>
      </c>
      <c r="C7" s="2" t="inlineStr">
        <is>
          <t>tc-gantry-fw</t>
        </is>
      </c>
      <c r="D7" s="2" t="inlineStr">
        <is>
          <t>Kebab-case.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22" customWidth="1" min="7" max="7"/>
    <col width="14" customWidth="1" min="8" max="8"/>
    <col width="34" customWidth="1" min="9" max="9"/>
  </cols>
  <sheetData>
    <row r="1">
      <c r="A1" s="3" t="inlineStr">
        <is>
          <t>INSTRUCTIONS: Used for fast pricing estimates. Do not treat as final pricing. Multipliers and adders should be reviewed periodically.</t>
        </is>
      </c>
    </row>
    <row r="2">
      <c r="A2" s="1" t="inlineStr">
        <is>
          <t>Quote_Line_ID</t>
        </is>
      </c>
      <c r="B2" s="1" t="inlineStr">
        <is>
          <t>Product_ID</t>
        </is>
      </c>
      <c r="C2" s="1" t="inlineStr">
        <is>
          <t>Base_Price_USD</t>
        </is>
      </c>
      <c r="D2" s="1" t="inlineStr">
        <is>
          <t>Size_Multiplier</t>
        </is>
      </c>
      <c r="E2" s="1" t="inlineStr">
        <is>
          <t>Variant_Add_USD</t>
        </is>
      </c>
      <c r="F2" s="1" t="inlineStr">
        <is>
          <t>Promo_Discount_USD</t>
        </is>
      </c>
      <c r="G2" s="1" t="inlineStr">
        <is>
          <t>Estimated_Price_USD (auto)</t>
        </is>
      </c>
      <c r="H2" s="1" t="inlineStr">
        <is>
          <t>Lead_Time_Weeks</t>
        </is>
      </c>
      <c r="I2" s="1" t="inlineStr">
        <is>
          <t>Notes</t>
        </is>
      </c>
    </row>
    <row r="3">
      <c r="A3" s="2" t="n"/>
      <c r="B3" s="2" t="n"/>
      <c r="C3" s="2" t="n"/>
      <c r="D3" s="2" t="n"/>
      <c r="E3" s="2" t="n"/>
      <c r="F3" s="2" t="n"/>
      <c r="G3" s="2">
        <f>IF($B2="","", ($C2*$D2)+$E2-$F2)</f>
        <v/>
      </c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>
        <f>IF($B3="","", ($C3*$D3)+$E3-$F3)</f>
        <v/>
      </c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>
        <f>IF($B4="","", ($C4*$D4)+$E4-$F4)</f>
        <v/>
      </c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>
        <f>IF($B5="","", ($C5*$D5)+$E5-$F5)</f>
        <v/>
      </c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>
        <f>IF($B6="","", ($C6*$D6)+$E6-$F6)</f>
        <v/>
      </c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>
        <f>IF($B7="","", ($C7*$D7)+$E7-$F7)</f>
        <v/>
      </c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>
        <f>IF($B8="","", ($C8*$D8)+$E8-$F8)</f>
        <v/>
      </c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>
        <f>IF($B9="","", ($C9*$D9)+$E9-$F9)</f>
        <v/>
      </c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>
        <f>IF($B10="","", ($C10*$D10)+$E10-$F10)</f>
        <v/>
      </c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>
        <f>IF($B11="","", ($C11*$D11)+$E11-$F11)</f>
        <v/>
      </c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>
        <f>IF($B12="","", ($C12*$D12)+$E12-$F12)</f>
        <v/>
      </c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>
        <f>IF($B13="","", ($C13*$D13)+$E13-$F13)</f>
        <v/>
      </c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>
        <f>IF($B14="","", ($C14*$D14)+$E14-$F14)</f>
        <v/>
      </c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>
        <f>IF($B15="","", ($C15*$D15)+$E15-$F15)</f>
        <v/>
      </c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>
        <f>IF($B16="","", ($C16*$D16)+$E16-$F16)</f>
        <v/>
      </c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>
        <f>IF($B17="","", ($C17*$D17)+$E17-$F17)</f>
        <v/>
      </c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>
        <f>IF($B18="","", ($C18*$D18)+$E18-$F18)</f>
        <v/>
      </c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>
        <f>IF($B19="","", ($C19*$D19)+$E19-$F19)</f>
        <v/>
      </c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>
        <f>IF($B20="","", ($C20*$D20)+$E20-$F20)</f>
        <v/>
      </c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>
        <f>IF($B21="","", ($C21*$D21)+$E21-$F21)</f>
        <v/>
      </c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>
        <f>IF($B22="","", ($C22*$D22)+$E22-$F22)</f>
        <v/>
      </c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>
        <f>IF($B23="","", ($C23*$D23)+$E23-$F23)</f>
        <v/>
      </c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>
        <f>IF($B24="","", ($C24*$D24)+$E24-$F24)</f>
        <v/>
      </c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>
        <f>IF($B25="","", ($C25*$D25)+$E25-$F25)</f>
        <v/>
      </c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>
        <f>IF($B26="","", ($C26*$D26)+$E26-$F26)</f>
        <v/>
      </c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>
        <f>IF($B27="","", ($C27*$D27)+$E27-$F27)</f>
        <v/>
      </c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>
        <f>IF($B28="","", ($C28*$D28)+$E28-$F28)</f>
        <v/>
      </c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>
        <f>IF($B29="","", ($C29*$D29)+$E29-$F29)</f>
        <v/>
      </c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>
        <f>IF($B30="","", ($C30*$D30)+$E30-$F30)</f>
        <v/>
      </c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>
        <f>IF($B31="","", ($C31*$D31)+$E31-$F31)</f>
        <v/>
      </c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>
        <f>IF($B32="","", ($C32*$D32)+$E32-$F32)</f>
        <v/>
      </c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>
        <f>IF($B33="","", ($C33*$D33)+$E33-$F33)</f>
        <v/>
      </c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>
        <f>IF($B34="","", ($C34*$D34)+$E34-$F34)</f>
        <v/>
      </c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>
        <f>IF($B35="","", ($C35*$D35)+$E35-$F35)</f>
        <v/>
      </c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>
        <f>IF($B36="","", ($C36*$D36)+$E36-$F36)</f>
        <v/>
      </c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>
        <f>IF($B37="","", ($C37*$D37)+$E37-$F37)</f>
        <v/>
      </c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>
        <f>IF($B38="","", ($C38*$D38)+$E38-$F38)</f>
        <v/>
      </c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>
        <f>IF($B39="","", ($C39*$D39)+$E39-$F39)</f>
        <v/>
      </c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>
        <f>IF($B40="","", ($C40*$D40)+$E40-$F40)</f>
        <v/>
      </c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>
        <f>IF($B41="","", ($C41*$D41)+$E41-$F41)</f>
        <v/>
      </c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>
        <f>IF($B42="","", ($C42*$D42)+$E42-$F42)</f>
        <v/>
      </c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>
        <f>IF($B43="","", ($C43*$D43)+$E43-$F43)</f>
        <v/>
      </c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>
        <f>IF($B44="","", ($C44*$D44)+$E44-$F44)</f>
        <v/>
      </c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>
        <f>IF($B45="","", ($C45*$D45)+$E45-$F45)</f>
        <v/>
      </c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>
        <f>IF($B46="","", ($C46*$D46)+$E46-$F46)</f>
        <v/>
      </c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>
        <f>IF($B47="","", ($C47*$D47)+$E47-$F47)</f>
        <v/>
      </c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>
        <f>IF($B48="","", ($C48*$D48)+$E48-$F48)</f>
        <v/>
      </c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>
        <f>IF($B49="","", ($C49*$D49)+$E49-$F49)</f>
        <v/>
      </c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>
        <f>IF($B50="","", ($C50*$D50)+$E50-$F50)</f>
        <v/>
      </c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>
        <f>IF($B51="","", ($C51*$D51)+$E51-$F51)</f>
        <v/>
      </c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>
        <f>IF($B52="","", ($C52*$D52)+$E52-$F52)</f>
        <v/>
      </c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>
        <f>IF($B53="","", ($C53*$D53)+$E53-$F53)</f>
        <v/>
      </c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>
        <f>IF($B54="","", ($C54*$D54)+$E54-$F54)</f>
        <v/>
      </c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>
        <f>IF($B55="","", ($C55*$D55)+$E55-$F55)</f>
        <v/>
      </c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>
        <f>IF($B56="","", ($C56*$D56)+$E56-$F56)</f>
        <v/>
      </c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>
        <f>IF($B57="","", ($C57*$D57)+$E57-$F57)</f>
        <v/>
      </c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>
        <f>IF($B58="","", ($C58*$D58)+$E58-$F58)</f>
        <v/>
      </c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>
        <f>IF($B59="","", ($C59*$D59)+$E59-$F59)</f>
        <v/>
      </c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>
        <f>IF($B60="","", ($C60*$D60)+$E60-$F60)</f>
        <v/>
      </c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>
        <f>IF($B61="","", ($C61*$D61)+$E61-$F61)</f>
        <v/>
      </c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>
        <f>IF($B62="","", ($C62*$D62)+$E62-$F62)</f>
        <v/>
      </c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>
        <f>IF($B63="","", ($C63*$D63)+$E63-$F63)</f>
        <v/>
      </c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>
        <f>IF($B64="","", ($C64*$D64)+$E64-$F64)</f>
        <v/>
      </c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>
        <f>IF($B65="","", ($C65*$D65)+$E65-$F65)</f>
        <v/>
      </c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>
        <f>IF($B66="","", ($C66*$D66)+$E66-$F66)</f>
        <v/>
      </c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>
        <f>IF($B67="","", ($C67*$D67)+$E67-$F67)</f>
        <v/>
      </c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>
        <f>IF($B68="","", ($C68*$D68)+$E68-$F68)</f>
        <v/>
      </c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>
        <f>IF($B69="","", ($C69*$D69)+$E69-$F69)</f>
        <v/>
      </c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>
        <f>IF($B70="","", ($C70*$D70)+$E70-$F70)</f>
        <v/>
      </c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>
        <f>IF($B71="","", ($C71*$D71)+$E71-$F71)</f>
        <v/>
      </c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>
        <f>IF($B72="","", ($C72*$D72)+$E72-$F72)</f>
        <v/>
      </c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>
        <f>IF($B73="","", ($C73*$D73)+$E73-$F73)</f>
        <v/>
      </c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>
        <f>IF($B74="","", ($C74*$D74)+$E74-$F74)</f>
        <v/>
      </c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>
        <f>IF($B75="","", ($C75*$D75)+$E75-$F75)</f>
        <v/>
      </c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>
        <f>IF($B76="","", ($C76*$D76)+$E76-$F76)</f>
        <v/>
      </c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>
        <f>IF($B77="","", ($C77*$D77)+$E77-$F77)</f>
        <v/>
      </c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>
        <f>IF($B78="","", ($C78*$D78)+$E78-$F78)</f>
        <v/>
      </c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>
        <f>IF($B79="","", ($C79*$D79)+$E79-$F79)</f>
        <v/>
      </c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>
        <f>IF($B80="","", ($C80*$D80)+$E80-$F80)</f>
        <v/>
      </c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>
        <f>IF($B81="","", ($C81*$D81)+$E81-$F81)</f>
        <v/>
      </c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>
        <f>IF($B82="","", ($C82*$D82)+$E82-$F82)</f>
        <v/>
      </c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>
        <f>IF($B83="","", ($C83*$D83)+$E83-$F83)</f>
        <v/>
      </c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>
        <f>IF($B84="","", ($C84*$D84)+$E84-$F84)</f>
        <v/>
      </c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>
        <f>IF($B85="","", ($C85*$D85)+$E85-$F85)</f>
        <v/>
      </c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>
        <f>IF($B86="","", ($C86*$D86)+$E86-$F86)</f>
        <v/>
      </c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>
        <f>IF($B87="","", ($C87*$D87)+$E87-$F87)</f>
        <v/>
      </c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>
        <f>IF($B88="","", ($C88*$D88)+$E88-$F88)</f>
        <v/>
      </c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>
        <f>IF($B89="","", ($C89*$D89)+$E89-$F89)</f>
        <v/>
      </c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>
        <f>IF($B90="","", ($C90*$D90)+$E90-$F90)</f>
        <v/>
      </c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>
        <f>IF($B91="","", ($C91*$D91)+$E91-$F91)</f>
        <v/>
      </c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>
        <f>IF($B92="","", ($C92*$D92)+$E92-$F92)</f>
        <v/>
      </c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>
        <f>IF($B93="","", ($C93*$D93)+$E93-$F93)</f>
        <v/>
      </c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>
        <f>IF($B94="","", ($C94*$D94)+$E94-$F94)</f>
        <v/>
      </c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>
        <f>IF($B95="","", ($C95*$D95)+$E95-$F95)</f>
        <v/>
      </c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>
        <f>IF($B96="","", ($C96*$D96)+$E96-$F96)</f>
        <v/>
      </c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>
        <f>IF($B97="","", ($C97*$D97)+$E97-$F97)</f>
        <v/>
      </c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>
        <f>IF($B98="","", ($C98*$D98)+$E98-$F98)</f>
        <v/>
      </c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>
        <f>IF($B99="","", ($C99*$D99)+$E99-$F99)</f>
        <v/>
      </c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>
        <f>IF($B100="","", ($C100*$D100)+$E100-$F100)</f>
        <v/>
      </c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>
        <f>IF($B101="","", ($C101*$D101)+$E101-$F101)</f>
        <v/>
      </c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>
        <f>IF($B102="","", ($C102*$D102)+$E102-$F102)</f>
        <v/>
      </c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>
        <f>IF($B103="","", ($C103*$D103)+$E103-$F103)</f>
        <v/>
      </c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>
        <f>IF($B104="","", ($C104*$D104)+$E104-$F104)</f>
        <v/>
      </c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>
        <f>IF($B105="","", ($C105*$D105)+$E105-$F105)</f>
        <v/>
      </c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>
        <f>IF($B106="","", ($C106*$D106)+$E106-$F106)</f>
        <v/>
      </c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>
        <f>IF($B107="","", ($C107*$D107)+$E107-$F107)</f>
        <v/>
      </c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>
        <f>IF($B108="","", ($C108*$D108)+$E108-$F108)</f>
        <v/>
      </c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>
        <f>IF($B109="","", ($C109*$D109)+$E109-$F109)</f>
        <v/>
      </c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>
        <f>IF($B110="","", ($C110*$D110)+$E110-$F110)</f>
        <v/>
      </c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>
        <f>IF($B111="","", ($C111*$D111)+$E111-$F111)</f>
        <v/>
      </c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>
        <f>IF($B112="","", ($C112*$D112)+$E112-$F112)</f>
        <v/>
      </c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>
        <f>IF($B113="","", ($C113*$D113)+$E113-$F113)</f>
        <v/>
      </c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>
        <f>IF($B114="","", ($C114*$D114)+$E114-$F114)</f>
        <v/>
      </c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>
        <f>IF($B115="","", ($C115*$D115)+$E115-$F115)</f>
        <v/>
      </c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>
        <f>IF($B116="","", ($C116*$D116)+$E116-$F116)</f>
        <v/>
      </c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>
        <f>IF($B117="","", ($C117*$D117)+$E117-$F117)</f>
        <v/>
      </c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>
        <f>IF($B118="","", ($C118*$D118)+$E118-$F118)</f>
        <v/>
      </c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>
        <f>IF($B119="","", ($C119*$D119)+$E119-$F119)</f>
        <v/>
      </c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>
        <f>IF($B120="","", ($C120*$D120)+$E120-$F120)</f>
        <v/>
      </c>
      <c r="H121" s="2" t="n"/>
      <c r="I121" s="2" t="n"/>
    </row>
  </sheetData>
  <dataValidations count="1">
    <dataValidation sqref="B2:B120" showDropDown="0" showInputMessage="0" showErrorMessage="0" allowBlank="0" type="list">
      <formula1>=PRODUCT_IDS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46" customWidth="1" min="3" max="3"/>
  </cols>
  <sheetData>
    <row r="1">
      <c r="A1" s="3" t="inlineStr">
        <is>
          <t>INSTRUCTIONS: Shared vocabulary for engineering, ops, and sales. Add new terms as they emerge.</t>
        </is>
      </c>
    </row>
    <row r="2">
      <c r="A2" s="1" t="inlineStr">
        <is>
          <t>Term</t>
        </is>
      </c>
      <c r="B2" s="1" t="inlineStr">
        <is>
          <t>Definition</t>
        </is>
      </c>
      <c r="C2" s="1" t="inlineStr">
        <is>
          <t>Notes</t>
        </is>
      </c>
    </row>
    <row r="3">
      <c r="A3" s="2" t="inlineStr">
        <is>
          <t>KEEP-IN</t>
        </is>
      </c>
      <c r="B3" s="2" t="inlineStr">
        <is>
          <t>Volume the robot is allowed to occupy.</t>
        </is>
      </c>
      <c r="C3" s="2" t="inlineStr">
        <is>
          <t>Modeled as envelope.</t>
        </is>
      </c>
    </row>
    <row r="4">
      <c r="A4" s="2" t="inlineStr">
        <is>
          <t>KEEP-OUT</t>
        </is>
      </c>
      <c r="B4" s="2" t="inlineStr">
        <is>
          <t>Volume the robot must never enter during working.</t>
        </is>
      </c>
      <c r="C4" s="2" t="inlineStr">
        <is>
          <t>Includes beds, structure, utilities.</t>
        </is>
      </c>
    </row>
    <row r="5">
      <c r="A5" s="2" t="inlineStr">
        <is>
          <t>Parked</t>
        </is>
      </c>
      <c r="B5" s="2" t="inlineStr">
        <is>
          <t>Robot in verified safe pose/location.</t>
        </is>
      </c>
      <c r="C5" s="2" t="inlineStr">
        <is>
          <t>Required for conditional overlaps.</t>
        </is>
      </c>
    </row>
    <row r="6">
      <c r="A6" s="2" t="inlineStr">
        <is>
          <t>Sweep Volume</t>
        </is>
      </c>
      <c r="B6" s="2" t="inlineStr">
        <is>
          <t>Full volume occupied during a motion.</t>
        </is>
      </c>
      <c r="C6" s="2" t="inlineStr">
        <is>
          <t>Model as envelope; check interference.</t>
        </is>
      </c>
    </row>
    <row r="7">
      <c r="A7" s="2" t="inlineStr">
        <is>
          <t>Cassette</t>
        </is>
      </c>
      <c r="B7" s="2" t="inlineStr">
        <is>
          <t>Removable module designed for swap/service.</t>
        </is>
      </c>
      <c r="C7" s="2" t="inlineStr">
        <is>
          <t>Reference planes, not geometry.</t>
        </is>
      </c>
    </row>
    <row r="8">
      <c r="A8" s="2" t="inlineStr">
        <is>
          <t>TB6600</t>
        </is>
      </c>
      <c r="B8" s="2" t="inlineStr">
        <is>
          <t>Stepper driver using STEP/DIR interface.</t>
        </is>
      </c>
      <c r="C8" s="2" t="inlineStr">
        <is>
          <t>Supported driver in gantry.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6" customWidth="1" min="4" max="4"/>
    <col width="26" customWidth="1" min="5" max="5"/>
    <col width="12" customWidth="1" min="6" max="6"/>
    <col width="12" customWidth="1" min="7" max="7"/>
    <col width="12" customWidth="1" min="8" max="8"/>
    <col width="28" customWidth="1" min="9" max="9"/>
  </cols>
  <sheetData>
    <row r="1">
      <c r="A1" s="3" t="inlineStr">
        <is>
          <t>INSTRUCTIONS: Capture lessons learned during builds. One issue per row. This prevents repeat mistakes.</t>
        </is>
      </c>
    </row>
    <row r="2">
      <c r="A2" s="1" t="inlineStr">
        <is>
          <t>Note_ID</t>
        </is>
      </c>
      <c r="B2" s="1" t="inlineStr">
        <is>
          <t>Product_ID</t>
        </is>
      </c>
      <c r="C2" s="1" t="inlineStr">
        <is>
          <t>Subsystem</t>
        </is>
      </c>
      <c r="D2" s="1" t="inlineStr">
        <is>
          <t>Issue/Observation</t>
        </is>
      </c>
      <c r="E2" s="1" t="inlineStr">
        <is>
          <t>Resolution/Decision</t>
        </is>
      </c>
      <c r="F2" s="1" t="inlineStr">
        <is>
          <t>Rev_Affected</t>
        </is>
      </c>
      <c r="G2" s="1" t="inlineStr">
        <is>
          <t>Owner</t>
        </is>
      </c>
      <c r="H2" s="1" t="inlineStr">
        <is>
          <t>Date</t>
        </is>
      </c>
      <c r="I2" s="1" t="inlineStr">
        <is>
          <t>Links/Refs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</sheetData>
  <dataValidations count="3">
    <dataValidation sqref="B2:B200" showDropDown="0" showInputMessage="0" showErrorMessage="0" allowBlank="0" type="list">
      <formula1>=PRODUCT_IDS</formula1>
    </dataValidation>
    <dataValidation sqref="C2:C200" showDropDown="0" showInputMessage="0" showErrorMessage="0" allowBlank="0" type="list">
      <formula1>=SUBSYSTEMS</formula1>
    </dataValidation>
    <dataValidation sqref="F2:F200" showDropDown="0" showInputMessage="0" showErrorMessage="0" allowBlank="0" type="list">
      <formula1>=REVS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  <col width="46" customWidth="1" min="5" max="5"/>
  </cols>
  <sheetData>
    <row r="1">
      <c r="A1" s="3" t="inlineStr">
        <is>
          <t>INSTRUCTIONS: Shows how modules attach to core products. Use this to understand compatibility and system architecture.</t>
        </is>
      </c>
    </row>
    <row r="2">
      <c r="A2" s="1" t="inlineStr">
        <is>
          <t>Module_ID</t>
        </is>
      </c>
      <c r="B2" s="1" t="inlineStr">
        <is>
          <t>Module_Name</t>
        </is>
      </c>
      <c r="C2" s="1" t="inlineStr">
        <is>
          <t>Module_Type</t>
        </is>
      </c>
      <c r="D2" s="1" t="inlineStr">
        <is>
          <t>Compatible_Size_Classes</t>
        </is>
      </c>
      <c r="E2" s="1" t="inlineStr">
        <is>
          <t>Notes</t>
        </is>
      </c>
    </row>
    <row r="3">
      <c r="A3" s="2" t="inlineStr">
        <is>
          <t>MOD-001</t>
        </is>
      </c>
      <c r="B3" s="2" t="inlineStr">
        <is>
          <t>Wood Frame Shell</t>
        </is>
      </c>
      <c r="C3" s="2" t="inlineStr">
        <is>
          <t>Structure</t>
        </is>
      </c>
      <c r="D3" s="2" t="inlineStr">
        <is>
          <t>S,M,T,L</t>
        </is>
      </c>
      <c r="E3" s="2" t="inlineStr">
        <is>
          <t>4×4 posts + 2×4 bracing; panel options.</t>
        </is>
      </c>
    </row>
    <row r="4">
      <c r="A4" s="2" t="inlineStr">
        <is>
          <t>MOD-002</t>
        </is>
      </c>
      <c r="B4" s="2" t="inlineStr">
        <is>
          <t>XYZ Gantry Core</t>
        </is>
      </c>
      <c r="C4" s="2" t="inlineStr">
        <is>
          <t>Motion</t>
        </is>
      </c>
      <c r="D4" s="2" t="inlineStr">
        <is>
          <t>S,M,T,L</t>
        </is>
      </c>
      <c r="E4" s="2" t="inlineStr">
        <is>
          <t>Same electronics; rails/extrusions vary by size.</t>
        </is>
      </c>
    </row>
    <row r="5">
      <c r="A5" s="2" t="inlineStr">
        <is>
          <t>MOD-003</t>
        </is>
      </c>
      <c r="B5" s="2" t="inlineStr">
        <is>
          <t>Poop Bin Drawer 8in</t>
        </is>
      </c>
      <c r="C5" s="2" t="inlineStr">
        <is>
          <t>Waste</t>
        </is>
      </c>
      <c r="D5" s="2" t="inlineStr">
        <is>
          <t>S,M,T,L</t>
        </is>
      </c>
      <c r="E5" s="2" t="inlineStr">
        <is>
          <t>Slide-out cassette; door-before-drawer.</t>
        </is>
      </c>
    </row>
    <row r="6">
      <c r="A6" s="2" t="inlineStr">
        <is>
          <t>MOD-004</t>
        </is>
      </c>
      <c r="B6" s="2" t="inlineStr">
        <is>
          <t>Deployable Roost Poles</t>
        </is>
      </c>
      <c r="C6" s="2" t="inlineStr">
        <is>
          <t>Roost</t>
        </is>
      </c>
      <c r="D6" s="2" t="inlineStr">
        <is>
          <t>S,M,T,L</t>
        </is>
      </c>
      <c r="E6" s="2" t="inlineStr">
        <is>
          <t>Conditional overlap only when robot parked.</t>
        </is>
      </c>
    </row>
    <row r="7">
      <c r="A7" s="2" t="inlineStr">
        <is>
          <t>MOD-005</t>
        </is>
      </c>
      <c r="B7" s="2" t="inlineStr">
        <is>
          <t>Predator Monitor UFO</t>
        </is>
      </c>
      <c r="C7" s="2" t="inlineStr">
        <is>
          <t>Security</t>
        </is>
      </c>
      <c r="D7" s="2" t="inlineStr">
        <is>
          <t>S,M,T,L</t>
        </is>
      </c>
      <c r="E7" s="2" t="inlineStr">
        <is>
          <t>Solar + IR + motion sensors + deterrent LEDs.</t>
        </is>
      </c>
    </row>
    <row r="8">
      <c r="A8" s="2" t="inlineStr">
        <is>
          <t>MOD-006</t>
        </is>
      </c>
      <c r="B8" s="2" t="inlineStr">
        <is>
          <t>Roaming Roost Mobile Base</t>
        </is>
      </c>
      <c r="C8" s="2" t="inlineStr">
        <is>
          <t>Mobile</t>
        </is>
      </c>
      <c r="D8" s="2" t="inlineStr">
        <is>
          <t>T,L</t>
        </is>
      </c>
      <c r="E8" s="2" t="inlineStr">
        <is>
          <t>Solar-ready mobile unit; remote reporting.</t>
        </is>
      </c>
    </row>
    <row r="9">
      <c r="A9" s="2" t="inlineStr">
        <is>
          <t>MOD-007</t>
        </is>
      </c>
      <c r="B9" s="2" t="inlineStr">
        <is>
          <t>Duck Dock Module</t>
        </is>
      </c>
      <c r="C9" s="2" t="inlineStr">
        <is>
          <t>Duck</t>
        </is>
      </c>
      <c r="D9" s="2" t="inlineStr">
        <is>
          <t>S,M,T,L</t>
        </is>
      </c>
      <c r="E9" s="2" t="inlineStr">
        <is>
          <t>Shelter + ramp + service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2026-01-22T06:34:33Z</dcterms:created>
  <dcterms:modified xmlns:dcterms="http://purl.org/dc/terms/" xmlns:xsi="http://www.w3.org/2001/XMLSchema-instance" xsi:type="dcterms:W3CDTF">2026-01-22T06:48:18Z</dcterms:modified>
</cp:coreProperties>
</file>